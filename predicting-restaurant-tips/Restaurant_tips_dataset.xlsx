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lenMtola\Downloads\Business Analytics with Excel\Restaurant\"/>
    </mc:Choice>
  </mc:AlternateContent>
  <xr:revisionPtr revIDLastSave="0" documentId="8_{710CC9D9-66E7-445F-8DD0-3986193AE691}" xr6:coauthVersionLast="47" xr6:coauthVersionMax="47" xr10:uidLastSave="{00000000-0000-0000-0000-000000000000}"/>
  <bookViews>
    <workbookView xWindow="-108" yWindow="-108" windowWidth="23256" windowHeight="13896" activeTab="1" xr2:uid="{E39F1B53-3127-4D6C-88BD-079CCE5E8692}"/>
  </bookViews>
  <sheets>
    <sheet name="Sheet1" sheetId="2" r:id="rId1"/>
    <sheet name="tips" sheetId="1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6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Q8" i="1" l="1"/>
  <c r="Q7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" i="1"/>
  <c r="H3" i="1"/>
  <c r="H4" i="1"/>
  <c r="H5" i="1"/>
  <c r="H6" i="1"/>
  <c r="H7" i="1"/>
  <c r="H8" i="1"/>
  <c r="L8" i="1" s="1"/>
  <c r="M8" i="1" s="1"/>
  <c r="H9" i="1"/>
  <c r="L9" i="1" s="1"/>
  <c r="M9" i="1" s="1"/>
  <c r="H10" i="1"/>
  <c r="L10" i="1" s="1"/>
  <c r="M10" i="1" s="1"/>
  <c r="H11" i="1"/>
  <c r="L11" i="1" s="1"/>
  <c r="M11" i="1" s="1"/>
  <c r="H12" i="1"/>
  <c r="H13" i="1"/>
  <c r="H14" i="1"/>
  <c r="H15" i="1"/>
  <c r="L15" i="1" s="1"/>
  <c r="M15" i="1" s="1"/>
  <c r="H16" i="1"/>
  <c r="L16" i="1" s="1"/>
  <c r="M16" i="1" s="1"/>
  <c r="H17" i="1"/>
  <c r="L17" i="1" s="1"/>
  <c r="M17" i="1" s="1"/>
  <c r="H18" i="1"/>
  <c r="L18" i="1" s="1"/>
  <c r="M18" i="1" s="1"/>
  <c r="H19" i="1"/>
  <c r="L19" i="1" s="1"/>
  <c r="M19" i="1" s="1"/>
  <c r="H20" i="1"/>
  <c r="H21" i="1"/>
  <c r="H22" i="1"/>
  <c r="H23" i="1"/>
  <c r="H24" i="1"/>
  <c r="H25" i="1"/>
  <c r="H26" i="1"/>
  <c r="H27" i="1"/>
  <c r="H28" i="1"/>
  <c r="L28" i="1" s="1"/>
  <c r="M28" i="1" s="1"/>
  <c r="H29" i="1"/>
  <c r="L29" i="1" s="1"/>
  <c r="M29" i="1" s="1"/>
  <c r="H30" i="1"/>
  <c r="L30" i="1" s="1"/>
  <c r="M30" i="1" s="1"/>
  <c r="H31" i="1"/>
  <c r="L31" i="1" s="1"/>
  <c r="M31" i="1" s="1"/>
  <c r="H32" i="1"/>
  <c r="H33" i="1"/>
  <c r="H34" i="1"/>
  <c r="H35" i="1"/>
  <c r="L35" i="1" s="1"/>
  <c r="M35" i="1" s="1"/>
  <c r="H36" i="1"/>
  <c r="L36" i="1" s="1"/>
  <c r="M36" i="1" s="1"/>
  <c r="H37" i="1"/>
  <c r="L37" i="1" s="1"/>
  <c r="M37" i="1" s="1"/>
  <c r="H38" i="1"/>
  <c r="L38" i="1" s="1"/>
  <c r="M38" i="1" s="1"/>
  <c r="H39" i="1"/>
  <c r="L39" i="1" s="1"/>
  <c r="M39" i="1" s="1"/>
  <c r="H40" i="1"/>
  <c r="H41" i="1"/>
  <c r="H42" i="1"/>
  <c r="H43" i="1"/>
  <c r="H44" i="1"/>
  <c r="H45" i="1"/>
  <c r="H46" i="1"/>
  <c r="H47" i="1"/>
  <c r="H48" i="1"/>
  <c r="L48" i="1" s="1"/>
  <c r="M48" i="1" s="1"/>
  <c r="H49" i="1"/>
  <c r="L49" i="1" s="1"/>
  <c r="M49" i="1" s="1"/>
  <c r="H50" i="1"/>
  <c r="L50" i="1" s="1"/>
  <c r="M50" i="1" s="1"/>
  <c r="H51" i="1"/>
  <c r="L51" i="1" s="1"/>
  <c r="M51" i="1" s="1"/>
  <c r="H52" i="1"/>
  <c r="H53" i="1"/>
  <c r="H54" i="1"/>
  <c r="H55" i="1"/>
  <c r="L55" i="1" s="1"/>
  <c r="M55" i="1" s="1"/>
  <c r="H56" i="1"/>
  <c r="L56" i="1" s="1"/>
  <c r="M56" i="1" s="1"/>
  <c r="H57" i="1"/>
  <c r="L57" i="1" s="1"/>
  <c r="M57" i="1" s="1"/>
  <c r="H58" i="1"/>
  <c r="L58" i="1" s="1"/>
  <c r="M58" i="1" s="1"/>
  <c r="H59" i="1"/>
  <c r="L59" i="1" s="1"/>
  <c r="M59" i="1" s="1"/>
  <c r="H60" i="1"/>
  <c r="H61" i="1"/>
  <c r="H62" i="1"/>
  <c r="H63" i="1"/>
  <c r="H64" i="1"/>
  <c r="H65" i="1"/>
  <c r="H66" i="1"/>
  <c r="H67" i="1"/>
  <c r="H68" i="1"/>
  <c r="L68" i="1" s="1"/>
  <c r="M68" i="1" s="1"/>
  <c r="H69" i="1"/>
  <c r="L69" i="1" s="1"/>
  <c r="M69" i="1" s="1"/>
  <c r="H70" i="1"/>
  <c r="L70" i="1" s="1"/>
  <c r="M70" i="1" s="1"/>
  <c r="H71" i="1"/>
  <c r="L71" i="1" s="1"/>
  <c r="M71" i="1" s="1"/>
  <c r="H72" i="1"/>
  <c r="H73" i="1"/>
  <c r="H74" i="1"/>
  <c r="H75" i="1"/>
  <c r="L75" i="1" s="1"/>
  <c r="M75" i="1" s="1"/>
  <c r="H76" i="1"/>
  <c r="L76" i="1" s="1"/>
  <c r="M76" i="1" s="1"/>
  <c r="H77" i="1"/>
  <c r="L77" i="1" s="1"/>
  <c r="M77" i="1" s="1"/>
  <c r="H78" i="1"/>
  <c r="L78" i="1" s="1"/>
  <c r="M78" i="1" s="1"/>
  <c r="H79" i="1"/>
  <c r="L79" i="1" s="1"/>
  <c r="M79" i="1" s="1"/>
  <c r="H80" i="1"/>
  <c r="H81" i="1"/>
  <c r="H82" i="1"/>
  <c r="H83" i="1"/>
  <c r="H84" i="1"/>
  <c r="H85" i="1"/>
  <c r="H86" i="1"/>
  <c r="H87" i="1"/>
  <c r="H88" i="1"/>
  <c r="L88" i="1" s="1"/>
  <c r="M88" i="1" s="1"/>
  <c r="H89" i="1"/>
  <c r="L89" i="1" s="1"/>
  <c r="M89" i="1" s="1"/>
  <c r="H90" i="1"/>
  <c r="L90" i="1" s="1"/>
  <c r="M90" i="1" s="1"/>
  <c r="H91" i="1"/>
  <c r="L91" i="1" s="1"/>
  <c r="M91" i="1" s="1"/>
  <c r="H92" i="1"/>
  <c r="H93" i="1"/>
  <c r="H94" i="1"/>
  <c r="H95" i="1"/>
  <c r="L95" i="1" s="1"/>
  <c r="M95" i="1" s="1"/>
  <c r="H96" i="1"/>
  <c r="L96" i="1" s="1"/>
  <c r="M96" i="1" s="1"/>
  <c r="H97" i="1"/>
  <c r="L97" i="1" s="1"/>
  <c r="M97" i="1" s="1"/>
  <c r="H98" i="1"/>
  <c r="L98" i="1" s="1"/>
  <c r="M98" i="1" s="1"/>
  <c r="H99" i="1"/>
  <c r="L99" i="1" s="1"/>
  <c r="M99" i="1" s="1"/>
  <c r="H100" i="1"/>
  <c r="H101" i="1"/>
  <c r="H102" i="1"/>
  <c r="H103" i="1"/>
  <c r="H104" i="1"/>
  <c r="H105" i="1"/>
  <c r="H106" i="1"/>
  <c r="H107" i="1"/>
  <c r="H108" i="1"/>
  <c r="L108" i="1" s="1"/>
  <c r="M108" i="1" s="1"/>
  <c r="H109" i="1"/>
  <c r="L109" i="1" s="1"/>
  <c r="M109" i="1" s="1"/>
  <c r="H110" i="1"/>
  <c r="L110" i="1" s="1"/>
  <c r="M110" i="1" s="1"/>
  <c r="H111" i="1"/>
  <c r="L111" i="1" s="1"/>
  <c r="M111" i="1" s="1"/>
  <c r="H112" i="1"/>
  <c r="H113" i="1"/>
  <c r="H114" i="1"/>
  <c r="H115" i="1"/>
  <c r="L115" i="1" s="1"/>
  <c r="M115" i="1" s="1"/>
  <c r="H116" i="1"/>
  <c r="L116" i="1" s="1"/>
  <c r="M116" i="1" s="1"/>
  <c r="H117" i="1"/>
  <c r="L117" i="1" s="1"/>
  <c r="M117" i="1" s="1"/>
  <c r="H118" i="1"/>
  <c r="L118" i="1" s="1"/>
  <c r="M118" i="1" s="1"/>
  <c r="H119" i="1"/>
  <c r="L119" i="1" s="1"/>
  <c r="M119" i="1" s="1"/>
  <c r="H120" i="1"/>
  <c r="H121" i="1"/>
  <c r="H122" i="1"/>
  <c r="H123" i="1"/>
  <c r="H124" i="1"/>
  <c r="H125" i="1"/>
  <c r="H126" i="1"/>
  <c r="H127" i="1"/>
  <c r="H128" i="1"/>
  <c r="L128" i="1" s="1"/>
  <c r="M128" i="1" s="1"/>
  <c r="H129" i="1"/>
  <c r="L129" i="1" s="1"/>
  <c r="M129" i="1" s="1"/>
  <c r="H130" i="1"/>
  <c r="L130" i="1" s="1"/>
  <c r="M130" i="1" s="1"/>
  <c r="H131" i="1"/>
  <c r="L131" i="1" s="1"/>
  <c r="M131" i="1" s="1"/>
  <c r="H132" i="1"/>
  <c r="H133" i="1"/>
  <c r="H134" i="1"/>
  <c r="H135" i="1"/>
  <c r="L135" i="1" s="1"/>
  <c r="M135" i="1" s="1"/>
  <c r="H136" i="1"/>
  <c r="L136" i="1" s="1"/>
  <c r="M136" i="1" s="1"/>
  <c r="H137" i="1"/>
  <c r="L137" i="1" s="1"/>
  <c r="M137" i="1" s="1"/>
  <c r="H138" i="1"/>
  <c r="L138" i="1" s="1"/>
  <c r="M138" i="1" s="1"/>
  <c r="H139" i="1"/>
  <c r="L139" i="1" s="1"/>
  <c r="M139" i="1" s="1"/>
  <c r="H140" i="1"/>
  <c r="H141" i="1"/>
  <c r="H142" i="1"/>
  <c r="H143" i="1"/>
  <c r="H144" i="1"/>
  <c r="H145" i="1"/>
  <c r="H146" i="1"/>
  <c r="H147" i="1"/>
  <c r="H148" i="1"/>
  <c r="L148" i="1" s="1"/>
  <c r="M148" i="1" s="1"/>
  <c r="H149" i="1"/>
  <c r="L149" i="1" s="1"/>
  <c r="M149" i="1" s="1"/>
  <c r="H150" i="1"/>
  <c r="L150" i="1" s="1"/>
  <c r="M150" i="1" s="1"/>
  <c r="H151" i="1"/>
  <c r="L151" i="1" s="1"/>
  <c r="M151" i="1" s="1"/>
  <c r="H152" i="1"/>
  <c r="H153" i="1"/>
  <c r="H154" i="1"/>
  <c r="H155" i="1"/>
  <c r="L155" i="1" s="1"/>
  <c r="M155" i="1" s="1"/>
  <c r="H156" i="1"/>
  <c r="L156" i="1" s="1"/>
  <c r="M156" i="1" s="1"/>
  <c r="H157" i="1"/>
  <c r="L157" i="1" s="1"/>
  <c r="M157" i="1" s="1"/>
  <c r="H158" i="1"/>
  <c r="L158" i="1" s="1"/>
  <c r="M158" i="1" s="1"/>
  <c r="H159" i="1"/>
  <c r="L159" i="1" s="1"/>
  <c r="M159" i="1" s="1"/>
  <c r="H160" i="1"/>
  <c r="H161" i="1"/>
  <c r="H162" i="1"/>
  <c r="H163" i="1"/>
  <c r="H164" i="1"/>
  <c r="H165" i="1"/>
  <c r="H166" i="1"/>
  <c r="H167" i="1"/>
  <c r="H168" i="1"/>
  <c r="L168" i="1" s="1"/>
  <c r="M168" i="1" s="1"/>
  <c r="H169" i="1"/>
  <c r="L169" i="1" s="1"/>
  <c r="M169" i="1" s="1"/>
  <c r="H170" i="1"/>
  <c r="L170" i="1" s="1"/>
  <c r="M170" i="1" s="1"/>
  <c r="H171" i="1"/>
  <c r="L171" i="1" s="1"/>
  <c r="M171" i="1" s="1"/>
  <c r="H172" i="1"/>
  <c r="H173" i="1"/>
  <c r="H174" i="1"/>
  <c r="H175" i="1"/>
  <c r="L175" i="1" s="1"/>
  <c r="M175" i="1" s="1"/>
  <c r="H176" i="1"/>
  <c r="L176" i="1" s="1"/>
  <c r="M176" i="1" s="1"/>
  <c r="H177" i="1"/>
  <c r="L177" i="1" s="1"/>
  <c r="M177" i="1" s="1"/>
  <c r="H178" i="1"/>
  <c r="L178" i="1" s="1"/>
  <c r="M178" i="1" s="1"/>
  <c r="H179" i="1"/>
  <c r="L179" i="1" s="1"/>
  <c r="M179" i="1" s="1"/>
  <c r="H180" i="1"/>
  <c r="H181" i="1"/>
  <c r="H182" i="1"/>
  <c r="H183" i="1"/>
  <c r="H184" i="1"/>
  <c r="H185" i="1"/>
  <c r="H186" i="1"/>
  <c r="H187" i="1"/>
  <c r="H188" i="1"/>
  <c r="L188" i="1" s="1"/>
  <c r="M188" i="1" s="1"/>
  <c r="H189" i="1"/>
  <c r="L189" i="1" s="1"/>
  <c r="M189" i="1" s="1"/>
  <c r="H190" i="1"/>
  <c r="L190" i="1" s="1"/>
  <c r="M190" i="1" s="1"/>
  <c r="H191" i="1"/>
  <c r="L191" i="1" s="1"/>
  <c r="M191" i="1" s="1"/>
  <c r="H192" i="1"/>
  <c r="H193" i="1"/>
  <c r="H194" i="1"/>
  <c r="H195" i="1"/>
  <c r="L195" i="1" s="1"/>
  <c r="M195" i="1" s="1"/>
  <c r="H196" i="1"/>
  <c r="L196" i="1" s="1"/>
  <c r="M196" i="1" s="1"/>
  <c r="H197" i="1"/>
  <c r="L197" i="1" s="1"/>
  <c r="M197" i="1" s="1"/>
  <c r="H198" i="1"/>
  <c r="L198" i="1" s="1"/>
  <c r="M198" i="1" s="1"/>
  <c r="H199" i="1"/>
  <c r="L199" i="1" s="1"/>
  <c r="M199" i="1" s="1"/>
  <c r="H200" i="1"/>
  <c r="H201" i="1"/>
  <c r="H202" i="1"/>
  <c r="H203" i="1"/>
  <c r="H204" i="1"/>
  <c r="H205" i="1"/>
  <c r="H206" i="1"/>
  <c r="H207" i="1"/>
  <c r="H208" i="1"/>
  <c r="L208" i="1" s="1"/>
  <c r="M208" i="1" s="1"/>
  <c r="H209" i="1"/>
  <c r="L209" i="1" s="1"/>
  <c r="M209" i="1" s="1"/>
  <c r="H210" i="1"/>
  <c r="L210" i="1" s="1"/>
  <c r="M210" i="1" s="1"/>
  <c r="H211" i="1"/>
  <c r="L211" i="1" s="1"/>
  <c r="M211" i="1" s="1"/>
  <c r="H212" i="1"/>
  <c r="H213" i="1"/>
  <c r="H214" i="1"/>
  <c r="H215" i="1"/>
  <c r="L215" i="1" s="1"/>
  <c r="M215" i="1" s="1"/>
  <c r="H216" i="1"/>
  <c r="L216" i="1" s="1"/>
  <c r="M216" i="1" s="1"/>
  <c r="H217" i="1"/>
  <c r="L217" i="1" s="1"/>
  <c r="M217" i="1" s="1"/>
  <c r="H218" i="1"/>
  <c r="L218" i="1" s="1"/>
  <c r="M218" i="1" s="1"/>
  <c r="H219" i="1"/>
  <c r="L219" i="1" s="1"/>
  <c r="M219" i="1" s="1"/>
  <c r="H220" i="1"/>
  <c r="H221" i="1"/>
  <c r="H222" i="1"/>
  <c r="H223" i="1"/>
  <c r="H224" i="1"/>
  <c r="H225" i="1"/>
  <c r="H226" i="1"/>
  <c r="H227" i="1"/>
  <c r="H228" i="1"/>
  <c r="L228" i="1" s="1"/>
  <c r="M228" i="1" s="1"/>
  <c r="H229" i="1"/>
  <c r="L229" i="1" s="1"/>
  <c r="M229" i="1" s="1"/>
  <c r="H230" i="1"/>
  <c r="L230" i="1" s="1"/>
  <c r="M230" i="1" s="1"/>
  <c r="H231" i="1"/>
  <c r="L231" i="1" s="1"/>
  <c r="M231" i="1" s="1"/>
  <c r="H232" i="1"/>
  <c r="H233" i="1"/>
  <c r="H234" i="1"/>
  <c r="H235" i="1"/>
  <c r="L235" i="1" s="1"/>
  <c r="M235" i="1" s="1"/>
  <c r="H236" i="1"/>
  <c r="L236" i="1" s="1"/>
  <c r="M236" i="1" s="1"/>
  <c r="H237" i="1"/>
  <c r="L237" i="1" s="1"/>
  <c r="M237" i="1" s="1"/>
  <c r="H238" i="1"/>
  <c r="L238" i="1" s="1"/>
  <c r="M238" i="1" s="1"/>
  <c r="H239" i="1"/>
  <c r="L239" i="1" s="1"/>
  <c r="M239" i="1" s="1"/>
  <c r="H240" i="1"/>
  <c r="H241" i="1"/>
  <c r="H242" i="1"/>
  <c r="H243" i="1"/>
  <c r="H244" i="1"/>
  <c r="H2" i="1"/>
  <c r="L234" i="1" l="1"/>
  <c r="M234" i="1" s="1"/>
  <c r="L214" i="1"/>
  <c r="M214" i="1" s="1"/>
  <c r="L194" i="1"/>
  <c r="M194" i="1" s="1"/>
  <c r="L174" i="1"/>
  <c r="M174" i="1" s="1"/>
  <c r="L154" i="1"/>
  <c r="M154" i="1" s="1"/>
  <c r="L134" i="1"/>
  <c r="M134" i="1" s="1"/>
  <c r="L114" i="1"/>
  <c r="M114" i="1" s="1"/>
  <c r="L94" i="1"/>
  <c r="M94" i="1" s="1"/>
  <c r="L74" i="1"/>
  <c r="M74" i="1" s="1"/>
  <c r="L54" i="1"/>
  <c r="M54" i="1" s="1"/>
  <c r="L34" i="1"/>
  <c r="M34" i="1" s="1"/>
  <c r="L14" i="1"/>
  <c r="M14" i="1" s="1"/>
  <c r="L233" i="1"/>
  <c r="M233" i="1" s="1"/>
  <c r="L213" i="1"/>
  <c r="M213" i="1" s="1"/>
  <c r="L193" i="1"/>
  <c r="M193" i="1" s="1"/>
  <c r="L173" i="1"/>
  <c r="M173" i="1" s="1"/>
  <c r="L153" i="1"/>
  <c r="M153" i="1" s="1"/>
  <c r="L133" i="1"/>
  <c r="M133" i="1" s="1"/>
  <c r="L113" i="1"/>
  <c r="M113" i="1" s="1"/>
  <c r="L93" i="1"/>
  <c r="M93" i="1" s="1"/>
  <c r="L73" i="1"/>
  <c r="M73" i="1" s="1"/>
  <c r="L53" i="1"/>
  <c r="M53" i="1" s="1"/>
  <c r="L33" i="1"/>
  <c r="M33" i="1" s="1"/>
  <c r="L13" i="1"/>
  <c r="M13" i="1" s="1"/>
  <c r="L232" i="1"/>
  <c r="M232" i="1" s="1"/>
  <c r="L212" i="1"/>
  <c r="M212" i="1" s="1"/>
  <c r="L192" i="1"/>
  <c r="M192" i="1" s="1"/>
  <c r="L172" i="1"/>
  <c r="M172" i="1" s="1"/>
  <c r="L152" i="1"/>
  <c r="M152" i="1" s="1"/>
  <c r="L132" i="1"/>
  <c r="M132" i="1" s="1"/>
  <c r="L112" i="1"/>
  <c r="M112" i="1" s="1"/>
  <c r="L92" i="1"/>
  <c r="M92" i="1" s="1"/>
  <c r="L72" i="1"/>
  <c r="M72" i="1" s="1"/>
  <c r="L52" i="1"/>
  <c r="M52" i="1" s="1"/>
  <c r="L32" i="1"/>
  <c r="M32" i="1" s="1"/>
  <c r="L12" i="1"/>
  <c r="M12" i="1" s="1"/>
  <c r="L227" i="1"/>
  <c r="M227" i="1" s="1"/>
  <c r="L167" i="1"/>
  <c r="M167" i="1" s="1"/>
  <c r="L87" i="1"/>
  <c r="M87" i="1" s="1"/>
  <c r="L27" i="1"/>
  <c r="M27" i="1" s="1"/>
  <c r="L206" i="1"/>
  <c r="M206" i="1" s="1"/>
  <c r="L126" i="1"/>
  <c r="M126" i="1" s="1"/>
  <c r="L86" i="1"/>
  <c r="M86" i="1" s="1"/>
  <c r="L26" i="1"/>
  <c r="M26" i="1" s="1"/>
  <c r="L225" i="1"/>
  <c r="M225" i="1" s="1"/>
  <c r="L165" i="1"/>
  <c r="M165" i="1" s="1"/>
  <c r="L105" i="1"/>
  <c r="M105" i="1" s="1"/>
  <c r="L45" i="1"/>
  <c r="M45" i="1" s="1"/>
  <c r="L244" i="1"/>
  <c r="M244" i="1" s="1"/>
  <c r="L184" i="1"/>
  <c r="M184" i="1" s="1"/>
  <c r="L124" i="1"/>
  <c r="M124" i="1" s="1"/>
  <c r="L64" i="1"/>
  <c r="M64" i="1" s="1"/>
  <c r="L4" i="1"/>
  <c r="M4" i="1" s="1"/>
  <c r="L243" i="1"/>
  <c r="M243" i="1" s="1"/>
  <c r="L163" i="1"/>
  <c r="M163" i="1" s="1"/>
  <c r="L23" i="1"/>
  <c r="M23" i="1" s="1"/>
  <c r="L187" i="1"/>
  <c r="M187" i="1" s="1"/>
  <c r="L147" i="1"/>
  <c r="M147" i="1" s="1"/>
  <c r="L107" i="1"/>
  <c r="M107" i="1" s="1"/>
  <c r="L47" i="1"/>
  <c r="M47" i="1" s="1"/>
  <c r="L186" i="1"/>
  <c r="M186" i="1" s="1"/>
  <c r="L146" i="1"/>
  <c r="M146" i="1" s="1"/>
  <c r="L106" i="1"/>
  <c r="M106" i="1" s="1"/>
  <c r="L46" i="1"/>
  <c r="M46" i="1" s="1"/>
  <c r="L185" i="1"/>
  <c r="M185" i="1" s="1"/>
  <c r="L125" i="1"/>
  <c r="M125" i="1" s="1"/>
  <c r="L65" i="1"/>
  <c r="M65" i="1" s="1"/>
  <c r="L5" i="1"/>
  <c r="M5" i="1" s="1"/>
  <c r="L204" i="1"/>
  <c r="M204" i="1" s="1"/>
  <c r="L144" i="1"/>
  <c r="M144" i="1" s="1"/>
  <c r="L84" i="1"/>
  <c r="M84" i="1" s="1"/>
  <c r="L24" i="1"/>
  <c r="M24" i="1" s="1"/>
  <c r="L203" i="1"/>
  <c r="M203" i="1" s="1"/>
  <c r="L143" i="1"/>
  <c r="M143" i="1" s="1"/>
  <c r="L103" i="1"/>
  <c r="M103" i="1" s="1"/>
  <c r="L43" i="1"/>
  <c r="M43" i="1" s="1"/>
  <c r="L222" i="1"/>
  <c r="M222" i="1" s="1"/>
  <c r="L162" i="1"/>
  <c r="M162" i="1" s="1"/>
  <c r="L122" i="1"/>
  <c r="M122" i="1" s="1"/>
  <c r="L82" i="1"/>
  <c r="M82" i="1" s="1"/>
  <c r="L42" i="1"/>
  <c r="M42" i="1" s="1"/>
  <c r="L241" i="1"/>
  <c r="M241" i="1" s="1"/>
  <c r="L221" i="1"/>
  <c r="M221" i="1" s="1"/>
  <c r="L201" i="1"/>
  <c r="M201" i="1" s="1"/>
  <c r="L181" i="1"/>
  <c r="M181" i="1" s="1"/>
  <c r="L161" i="1"/>
  <c r="M161" i="1" s="1"/>
  <c r="L141" i="1"/>
  <c r="M141" i="1" s="1"/>
  <c r="L121" i="1"/>
  <c r="M121" i="1" s="1"/>
  <c r="L101" i="1"/>
  <c r="M101" i="1" s="1"/>
  <c r="L81" i="1"/>
  <c r="M81" i="1" s="1"/>
  <c r="L61" i="1"/>
  <c r="M61" i="1" s="1"/>
  <c r="L41" i="1"/>
  <c r="M41" i="1" s="1"/>
  <c r="L21" i="1"/>
  <c r="M21" i="1" s="1"/>
  <c r="L207" i="1"/>
  <c r="M207" i="1" s="1"/>
  <c r="L127" i="1"/>
  <c r="M127" i="1" s="1"/>
  <c r="L67" i="1"/>
  <c r="M67" i="1" s="1"/>
  <c r="L7" i="1"/>
  <c r="M7" i="1" s="1"/>
  <c r="L226" i="1"/>
  <c r="M226" i="1" s="1"/>
  <c r="L166" i="1"/>
  <c r="M166" i="1" s="1"/>
  <c r="L66" i="1"/>
  <c r="M66" i="1" s="1"/>
  <c r="L6" i="1"/>
  <c r="M6" i="1" s="1"/>
  <c r="L205" i="1"/>
  <c r="M205" i="1" s="1"/>
  <c r="L145" i="1"/>
  <c r="M145" i="1" s="1"/>
  <c r="L85" i="1"/>
  <c r="M85" i="1" s="1"/>
  <c r="L25" i="1"/>
  <c r="M25" i="1" s="1"/>
  <c r="L224" i="1"/>
  <c r="M224" i="1" s="1"/>
  <c r="L164" i="1"/>
  <c r="M164" i="1" s="1"/>
  <c r="L104" i="1"/>
  <c r="M104" i="1" s="1"/>
  <c r="L44" i="1"/>
  <c r="M44" i="1" s="1"/>
  <c r="L223" i="1"/>
  <c r="M223" i="1" s="1"/>
  <c r="L183" i="1"/>
  <c r="M183" i="1" s="1"/>
  <c r="L123" i="1"/>
  <c r="M123" i="1" s="1"/>
  <c r="L83" i="1"/>
  <c r="M83" i="1" s="1"/>
  <c r="L63" i="1"/>
  <c r="M63" i="1" s="1"/>
  <c r="L3" i="1"/>
  <c r="M3" i="1" s="1"/>
  <c r="L242" i="1"/>
  <c r="M242" i="1" s="1"/>
  <c r="L202" i="1"/>
  <c r="M202" i="1" s="1"/>
  <c r="L182" i="1"/>
  <c r="M182" i="1" s="1"/>
  <c r="L142" i="1"/>
  <c r="M142" i="1" s="1"/>
  <c r="L102" i="1"/>
  <c r="M102" i="1" s="1"/>
  <c r="L62" i="1"/>
  <c r="M62" i="1" s="1"/>
  <c r="L22" i="1"/>
  <c r="M22" i="1" s="1"/>
  <c r="L240" i="1"/>
  <c r="M240" i="1" s="1"/>
  <c r="L220" i="1"/>
  <c r="M220" i="1" s="1"/>
  <c r="L200" i="1"/>
  <c r="M200" i="1" s="1"/>
  <c r="L180" i="1"/>
  <c r="M180" i="1" s="1"/>
  <c r="L160" i="1"/>
  <c r="M160" i="1" s="1"/>
  <c r="L140" i="1"/>
  <c r="M140" i="1" s="1"/>
  <c r="L120" i="1"/>
  <c r="M120" i="1" s="1"/>
  <c r="L100" i="1"/>
  <c r="M100" i="1" s="1"/>
  <c r="L80" i="1"/>
  <c r="M80" i="1" s="1"/>
  <c r="L60" i="1"/>
  <c r="M60" i="1" s="1"/>
  <c r="L40" i="1"/>
  <c r="M40" i="1" s="1"/>
  <c r="L20" i="1"/>
  <c r="M20" i="1" s="1"/>
  <c r="Q6" i="1"/>
  <c r="Q5" i="1"/>
  <c r="Q3" i="1"/>
  <c r="Q4" i="1"/>
  <c r="L2" i="1"/>
  <c r="M2" i="1" l="1"/>
</calcChain>
</file>

<file path=xl/sharedStrings.xml><?xml version="1.0" encoding="utf-8"?>
<sst xmlns="http://schemas.openxmlformats.org/spreadsheetml/2006/main" count="1030" uniqueCount="51">
  <si>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</si>
  <si>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</si>
  <si>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</si>
  <si>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</si>
  <si>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</si>
  <si>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</si>
  <si>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</si>
  <si>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</si>
  <si>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</si>
  <si>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</si>
  <si>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</si>
  <si>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</si>
  <si>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</si>
  <si>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total bill</t>
  </si>
  <si>
    <t>Sat</t>
  </si>
  <si>
    <t>Yes</t>
  </si>
  <si>
    <t>Thur</t>
  </si>
  <si>
    <t>Lunch</t>
  </si>
  <si>
    <t>Fri</t>
  </si>
  <si>
    <t>Day</t>
  </si>
  <si>
    <t>Time</t>
  </si>
  <si>
    <t>Smoke_encoded</t>
  </si>
  <si>
    <t>Sex_encoded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</si>
  <si>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</si>
  <si>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</si>
  <si>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</si>
  <si>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</si>
  <si>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</si>
  <si>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</si>
  <si>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</si>
  <si>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</si>
  <si>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</si>
  <si>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</si>
  <si>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</si>
  <si>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</si>
  <si>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</si>
  <si>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</si>
  <si>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</si>
  <si>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</si>
  <si>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</si>
  <si>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</si>
  <si>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</si>
  <si>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</si>
  <si>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</si>
  <si>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</si>
  <si>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</si>
  <si>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</si>
  <si>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Predicted Tip</t>
  </si>
  <si>
    <t>Error</t>
  </si>
  <si>
    <t>Squared Error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</si>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</sst>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Tip vs</a:t>
            </a:r>
            <a:r>
              <a:rPr lang="en-US" baseline="0"/>
              <a:t> Total Bill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tips!$G$1</c:f>
              <c:strCache>
                <c:ptCount val="1"/>
                <c:pt idx="0">
                  <c:v>tip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tips!$F$2:$F$244</c:f>
              <c:numCache>
                <c:formatCode>General</c:formatCode>
                <c:ptCount val="243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16.399999999999999</c:v>
                </c:pt>
                <c:pt idx="203">
                  <c:v>20.53</c:v>
                </c:pt>
                <c:pt idx="204">
                  <c:v>16.47</c:v>
                </c:pt>
                <c:pt idx="205">
                  <c:v>26.59</c:v>
                </c:pt>
                <c:pt idx="206">
                  <c:v>38.729999999999997</c:v>
                </c:pt>
                <c:pt idx="207">
                  <c:v>24.27</c:v>
                </c:pt>
                <c:pt idx="208">
                  <c:v>12.76</c:v>
                </c:pt>
                <c:pt idx="209">
                  <c:v>30.06</c:v>
                </c:pt>
                <c:pt idx="210">
                  <c:v>25.89</c:v>
                </c:pt>
                <c:pt idx="211">
                  <c:v>48.33</c:v>
                </c:pt>
                <c:pt idx="212">
                  <c:v>13.27</c:v>
                </c:pt>
                <c:pt idx="213">
                  <c:v>28.17</c:v>
                </c:pt>
                <c:pt idx="214">
                  <c:v>12.9</c:v>
                </c:pt>
                <c:pt idx="215">
                  <c:v>28.15</c:v>
                </c:pt>
                <c:pt idx="216">
                  <c:v>11.59</c:v>
                </c:pt>
                <c:pt idx="217">
                  <c:v>7.74</c:v>
                </c:pt>
                <c:pt idx="218">
                  <c:v>30.14</c:v>
                </c:pt>
                <c:pt idx="219">
                  <c:v>12.16</c:v>
                </c:pt>
                <c:pt idx="220">
                  <c:v>13.42</c:v>
                </c:pt>
                <c:pt idx="221">
                  <c:v>8.58</c:v>
                </c:pt>
                <c:pt idx="222">
                  <c:v>15.98</c:v>
                </c:pt>
                <c:pt idx="223">
                  <c:v>13.42</c:v>
                </c:pt>
                <c:pt idx="224">
                  <c:v>16.27</c:v>
                </c:pt>
                <c:pt idx="225">
                  <c:v>10.09</c:v>
                </c:pt>
                <c:pt idx="226">
                  <c:v>20.45</c:v>
                </c:pt>
                <c:pt idx="227">
                  <c:v>13.28</c:v>
                </c:pt>
                <c:pt idx="228">
                  <c:v>22.12</c:v>
                </c:pt>
                <c:pt idx="229">
                  <c:v>24.01</c:v>
                </c:pt>
                <c:pt idx="230">
                  <c:v>15.69</c:v>
                </c:pt>
                <c:pt idx="231">
                  <c:v>11.61</c:v>
                </c:pt>
                <c:pt idx="232">
                  <c:v>10.77</c:v>
                </c:pt>
                <c:pt idx="233">
                  <c:v>15.53</c:v>
                </c:pt>
                <c:pt idx="234">
                  <c:v>10.07</c:v>
                </c:pt>
                <c:pt idx="235">
                  <c:v>12.6</c:v>
                </c:pt>
                <c:pt idx="236">
                  <c:v>32.83</c:v>
                </c:pt>
                <c:pt idx="237">
                  <c:v>35.83</c:v>
                </c:pt>
                <c:pt idx="238">
                  <c:v>29.03</c:v>
                </c:pt>
                <c:pt idx="239">
                  <c:v>27.18</c:v>
                </c:pt>
                <c:pt idx="240">
                  <c:v>22.67</c:v>
                </c:pt>
                <c:pt idx="241">
                  <c:v>17.82</c:v>
                </c:pt>
                <c:pt idx="242">
                  <c:v>18.78</c:v>
                </c:pt>
              </c:numCache>
            </c:numRef>
          </c:xVal>
          <c:yVal>
            <c:numRef>
              <c:f>tips!$G$2:$G$244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1-4B13-896E-9F0E1720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148192"/>
        <c:axId val="557140032"/>
      </c:scatterChart>
      <c:valAx>
        <c:axId val="55714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40032"/>
        <c:crosses val="autoZero"/>
        <c:crossBetween val="midCat"/>
      </c:valAx>
      <c:valAx>
        <c:axId val="5571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4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218</xdr:row>
      <xdr:rowOff>101917</xdr:rowOff>
    </xdr:from>
    <xdr:to>
      <xdr:col>18</xdr:col>
      <xdr:colOff>226695</xdr:colOff>
      <xdr:row>233</xdr:row>
      <xdr:rowOff>130492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BC99E-5D4E-6857-02D2-0772E3852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933E-9DBD-4D4E-9557-8907DC576B48}">
  <dimension ref="A1:I23"/>
  <sheetViews>
    <sheetView workbookViewId="0">
      <selection activeCell="N14" sqref="N14"/>
    </sheetView>
  </sheetViews>
  <sheetFormatPr defaultRowHeight="14.4" x14ac:dyDescent="0.3"/>
  <sheetData>
    <row r="1" spans="1:9" x14ac:dyDescent="0.3">
      <c r="A1" t="s">
        <v>23</v>
      </c>
    </row>
    <row r="2" spans="1:9" ht="15" thickBot="1" x14ac:dyDescent="0.35"/>
    <row r="3" spans="1:9" x14ac:dyDescent="0.3">
      <c r="A3" s="6" t="s">
        <v>24</v>
      </c>
      <c r="B3" s="6"/>
    </row>
    <row r="4" spans="1:9" x14ac:dyDescent="0.3">
      <c r="A4" t="s">
        <v>25</v>
      </c>
      <c r="B4">
        <v>0.68422646104293572</v>
      </c>
    </row>
    <row r="5" spans="1:9" x14ac:dyDescent="0.3">
      <c r="A5" t="s">
        <v>26</v>
      </c>
      <c r="B5">
        <v>0.46816584999134009</v>
      </c>
    </row>
    <row r="6" spans="1:9" x14ac:dyDescent="0.3">
      <c r="A6" t="s">
        <v>27</v>
      </c>
      <c r="B6">
        <v>0.45464464278773009</v>
      </c>
    </row>
    <row r="7" spans="1:9" x14ac:dyDescent="0.3">
      <c r="A7" t="s">
        <v>28</v>
      </c>
      <c r="B7">
        <v>1.0227987864680839</v>
      </c>
    </row>
    <row r="8" spans="1:9" ht="15" thickBot="1" x14ac:dyDescent="0.35">
      <c r="A8" s="4" t="s">
        <v>29</v>
      </c>
      <c r="B8" s="4">
        <v>243</v>
      </c>
    </row>
    <row r="10" spans="1:9" ht="15" thickBot="1" x14ac:dyDescent="0.35">
      <c r="A10" t="s">
        <v>30</v>
      </c>
    </row>
    <row r="11" spans="1:9" x14ac:dyDescent="0.3">
      <c r="A11" s="5"/>
      <c r="B11" s="5" t="s">
        <v>35</v>
      </c>
      <c r="C11" s="5" t="s">
        <v>36</v>
      </c>
      <c r="D11" s="5" t="s">
        <v>37</v>
      </c>
      <c r="E11" s="5" t="s">
        <v>38</v>
      </c>
      <c r="F11" s="5" t="s">
        <v>39</v>
      </c>
    </row>
    <row r="12" spans="1:9" x14ac:dyDescent="0.3">
      <c r="A12" t="s">
        <v>31</v>
      </c>
      <c r="B12">
        <v>6</v>
      </c>
      <c r="C12">
        <v>217.32811924412201</v>
      </c>
      <c r="D12">
        <v>36.221353207353665</v>
      </c>
      <c r="E12">
        <v>34.624559992420309</v>
      </c>
      <c r="F12">
        <v>6.9884727907758078E-30</v>
      </c>
    </row>
    <row r="13" spans="1:9" x14ac:dyDescent="0.3">
      <c r="A13" t="s">
        <v>32</v>
      </c>
      <c r="B13">
        <v>236</v>
      </c>
      <c r="C13">
        <v>246.88369639373806</v>
      </c>
      <c r="D13">
        <v>1.0461173576005851</v>
      </c>
    </row>
    <row r="14" spans="1:9" ht="15" thickBot="1" x14ac:dyDescent="0.35">
      <c r="A14" s="4" t="s">
        <v>33</v>
      </c>
      <c r="B14" s="4">
        <v>242</v>
      </c>
      <c r="C14" s="4">
        <v>464.21181563786007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40</v>
      </c>
      <c r="C16" s="5" t="s">
        <v>28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45</v>
      </c>
      <c r="I16" s="5" t="s">
        <v>46</v>
      </c>
    </row>
    <row r="17" spans="1:9" x14ac:dyDescent="0.3">
      <c r="A17" t="s">
        <v>34</v>
      </c>
      <c r="B17">
        <v>0.6750809453818154</v>
      </c>
      <c r="C17">
        <v>0.25424114258453456</v>
      </c>
      <c r="D17">
        <v>2.655278128941513</v>
      </c>
      <c r="E17">
        <v>8.4639992400775636E-3</v>
      </c>
      <c r="F17">
        <v>0.17420889768121306</v>
      </c>
      <c r="G17">
        <v>1.1759529930824177</v>
      </c>
      <c r="H17">
        <v>0.17420889768121306</v>
      </c>
      <c r="I17">
        <v>1.1759529930824177</v>
      </c>
    </row>
    <row r="18" spans="1:9" x14ac:dyDescent="0.3">
      <c r="A18" t="s">
        <v>4</v>
      </c>
      <c r="B18">
        <v>0.17496437054700811</v>
      </c>
      <c r="C18">
        <v>8.9368964901146986E-2</v>
      </c>
      <c r="D18">
        <v>1.9577755067493523</v>
      </c>
      <c r="E18">
        <v>5.1434839462502886E-2</v>
      </c>
      <c r="F18">
        <v>-1.0984649007886871E-3</v>
      </c>
      <c r="G18">
        <v>0.35102720599480491</v>
      </c>
      <c r="H18">
        <v>-1.0984649007886871E-3</v>
      </c>
      <c r="I18">
        <v>0.35102720599480491</v>
      </c>
    </row>
    <row r="19" spans="1:9" x14ac:dyDescent="0.3">
      <c r="A19" t="s">
        <v>5</v>
      </c>
      <c r="B19">
        <v>9.4263518607442878E-2</v>
      </c>
      <c r="C19">
        <v>9.5613713006104089E-3</v>
      </c>
      <c r="D19">
        <v>9.8587865321604014</v>
      </c>
      <c r="E19">
        <v>2.0105695796112259E-19</v>
      </c>
      <c r="F19">
        <v>7.5426977937908368E-2</v>
      </c>
      <c r="G19">
        <v>0.11310005927697739</v>
      </c>
      <c r="H19">
        <v>7.5426977937908368E-2</v>
      </c>
      <c r="I19">
        <v>0.11310005927697739</v>
      </c>
    </row>
    <row r="20" spans="1:9" x14ac:dyDescent="0.3">
      <c r="A20" t="s">
        <v>22</v>
      </c>
      <c r="B20">
        <v>-3.6632514766371221E-2</v>
      </c>
      <c r="C20">
        <v>0.14164817734611235</v>
      </c>
      <c r="D20">
        <v>-0.25861620991324835</v>
      </c>
      <c r="E20">
        <v>0.7961567853551258</v>
      </c>
      <c r="F20">
        <v>-0.31568889375827835</v>
      </c>
      <c r="G20">
        <v>0.24242386422553588</v>
      </c>
      <c r="H20">
        <v>-0.31568889375827835</v>
      </c>
      <c r="I20">
        <v>0.24242386422553588</v>
      </c>
    </row>
    <row r="21" spans="1:9" x14ac:dyDescent="0.3">
      <c r="A21" t="s">
        <v>21</v>
      </c>
      <c r="B21">
        <v>-7.2844330789933256E-2</v>
      </c>
      <c r="C21">
        <v>0.14105132937442608</v>
      </c>
      <c r="D21">
        <v>-0.51643845622018369</v>
      </c>
      <c r="E21">
        <v>0.60603178137164948</v>
      </c>
      <c r="F21">
        <v>-0.35072487937647995</v>
      </c>
      <c r="G21">
        <v>0.20503621779661346</v>
      </c>
      <c r="H21">
        <v>-0.35072487937647995</v>
      </c>
      <c r="I21">
        <v>0.20503621779661346</v>
      </c>
    </row>
    <row r="22" spans="1:9" x14ac:dyDescent="0.3">
      <c r="A22" t="s">
        <v>19</v>
      </c>
      <c r="B22">
        <v>5.3005304982935736E-2</v>
      </c>
      <c r="C22">
        <v>0.12058260481989183</v>
      </c>
      <c r="D22">
        <v>0.43957671226382189</v>
      </c>
      <c r="E22">
        <v>0.66064596015396393</v>
      </c>
      <c r="F22">
        <v>-0.18455048783344555</v>
      </c>
      <c r="G22">
        <v>0.29056109779931705</v>
      </c>
      <c r="H22">
        <v>-0.18455048783344555</v>
      </c>
      <c r="I22">
        <v>0.29056109779931705</v>
      </c>
    </row>
    <row r="23" spans="1:9" ht="15" thickBot="1" x14ac:dyDescent="0.35">
      <c r="A23" s="4" t="s">
        <v>20</v>
      </c>
      <c r="B23" s="4">
        <v>-0.11600626172099011</v>
      </c>
      <c r="C23" s="4">
        <v>0.30855321573390115</v>
      </c>
      <c r="D23" s="4">
        <v>-0.37596840935547038</v>
      </c>
      <c r="E23" s="4">
        <v>0.70727812423530267</v>
      </c>
      <c r="F23" s="4">
        <v>-0.72387672445641749</v>
      </c>
      <c r="G23" s="4">
        <v>0.49186420101443723</v>
      </c>
      <c r="H23" s="4">
        <v>-0.72387672445641749</v>
      </c>
      <c r="I23" s="4">
        <v>0.49186420101443723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W246"/>
  <sheetViews>
    <sheetView tabSelected="1" workbookViewId="0">
      <selection activeCell="F1" sqref="F1:G244"/>
    </sheetView>
  </sheetViews>
  <sheetFormatPr defaultColWidth="13.44140625" defaultRowHeight="14.4" x14ac:dyDescent="0.3"/>
  <cols>
    <col min="9" max="9" width="16" customWidth="1"/>
    <col min="17" max="17" width="17.5546875" style="2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21</v>
      </c>
      <c r="J1" t="s">
        <v>19</v>
      </c>
      <c r="K1" t="s">
        <v>20</v>
      </c>
      <c r="L1" t="s">
        <v>47</v>
      </c>
      <c r="M1" t="s">
        <v>48</v>
      </c>
      <c r="N1" t="s">
        <v>49</v>
      </c>
      <c r="R1" t="s">
        <v>4</v>
      </c>
      <c r="S1" t="s">
        <v>5</v>
      </c>
      <c r="T1" t="s">
        <v>22</v>
      </c>
      <c r="U1" t="s">
        <v>21</v>
      </c>
      <c r="V1" t="s">
        <v>19</v>
      </c>
      <c r="W1" t="s">
        <v>20</v>
      </c>
    </row>
    <row r="2" spans="1:23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  <c r="H2">
        <f>IF(A2="Male",1,0)</f>
        <v>0</v>
      </c>
      <c r="I2">
        <f>IF(B2="Yes",1,0)</f>
        <v>0</v>
      </c>
      <c r="J2">
        <f>IF(C2="Thur",1,IF(C2="Fri",2,IF(C2="Sat",3,4)))</f>
        <v>4</v>
      </c>
      <c r="K2">
        <f>IF(D2="Dinner",1,0)</f>
        <v>1</v>
      </c>
      <c r="L2">
        <f>0.92+(E2*0.18)+(F2*0.11)+(H2*0.14)+(I2*-0.2)+(J2*0.03)+(K2*0.08)</f>
        <v>3.3489</v>
      </c>
      <c r="M2">
        <f>G2-L2</f>
        <v>-2.3388999999999998</v>
      </c>
      <c r="N2">
        <f>(G2-L2)^2</f>
        <v>5.4704532099999987</v>
      </c>
      <c r="R2">
        <v>2</v>
      </c>
      <c r="S2">
        <v>16.989999999999998</v>
      </c>
      <c r="T2">
        <v>0</v>
      </c>
      <c r="U2">
        <v>0</v>
      </c>
      <c r="V2">
        <v>4</v>
      </c>
      <c r="W2">
        <v>1</v>
      </c>
    </row>
    <row r="3" spans="1:23" x14ac:dyDescent="0.3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H3">
        <f t="shared" ref="H3:H66" si="0">IF(A3="Male",1,0)</f>
        <v>1</v>
      </c>
      <c r="I3">
        <f t="shared" ref="I3:I66" si="1">IF(B3="Yes",1,0)</f>
        <v>0</v>
      </c>
      <c r="J3">
        <f t="shared" ref="J3:J66" si="2">IF(C3="Thur",1,IF(C3="Fri",2,IF(C3="Sat",3,4)))</f>
        <v>4</v>
      </c>
      <c r="K3">
        <f t="shared" ref="K3:K66" si="3">IF(D3="Dinner",1,0)</f>
        <v>1</v>
      </c>
      <c r="L3">
        <f t="shared" ref="L3:L66" si="4">0.92+(E3*0.18)+(F3*0.11)+(H3*0.14)+(I3*-0.2)+(J3*0.03)+(K3*0.08)</f>
        <v>2.9374000000000002</v>
      </c>
      <c r="M3">
        <f t="shared" ref="M3:M66" si="5">G3-L3</f>
        <v>-1.2774000000000003</v>
      </c>
      <c r="N3">
        <f>(G3-L3)^2</f>
        <v>1.6317507600000007</v>
      </c>
      <c r="P3" s="1" t="s">
        <v>12</v>
      </c>
      <c r="Q3" s="3">
        <f>CORREL(H2:H245,G2:G245)</f>
        <v>8.5273975201494573E-2</v>
      </c>
      <c r="R3">
        <v>3</v>
      </c>
      <c r="S3">
        <v>10.34</v>
      </c>
      <c r="T3">
        <v>1</v>
      </c>
      <c r="U3">
        <v>0</v>
      </c>
      <c r="V3">
        <v>4</v>
      </c>
      <c r="W3">
        <v>1</v>
      </c>
    </row>
    <row r="4" spans="1:23" x14ac:dyDescent="0.3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H4">
        <f t="shared" si="0"/>
        <v>1</v>
      </c>
      <c r="I4">
        <f t="shared" si="1"/>
        <v>0</v>
      </c>
      <c r="J4">
        <f t="shared" si="2"/>
        <v>4</v>
      </c>
      <c r="K4">
        <f t="shared" si="3"/>
        <v>1</v>
      </c>
      <c r="L4">
        <f t="shared" si="4"/>
        <v>4.1111000000000004</v>
      </c>
      <c r="M4">
        <f t="shared" si="5"/>
        <v>-0.61110000000000042</v>
      </c>
      <c r="N4">
        <f t="shared" ref="N4:N66" si="6">(G4-L4)^2</f>
        <v>0.37344321000000053</v>
      </c>
      <c r="P4" s="1" t="s">
        <v>1</v>
      </c>
      <c r="Q4" s="3">
        <f>CORREL(I2:I245,G2:G245)</f>
        <v>9.7627499908010239E-3</v>
      </c>
      <c r="R4">
        <v>3</v>
      </c>
      <c r="S4">
        <v>21.01</v>
      </c>
      <c r="T4">
        <v>1</v>
      </c>
      <c r="U4">
        <v>0</v>
      </c>
      <c r="V4">
        <v>4</v>
      </c>
      <c r="W4">
        <v>1</v>
      </c>
    </row>
    <row r="5" spans="1:23" x14ac:dyDescent="0.3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H5">
        <f t="shared" si="0"/>
        <v>1</v>
      </c>
      <c r="I5">
        <f t="shared" si="1"/>
        <v>0</v>
      </c>
      <c r="J5">
        <f t="shared" si="2"/>
        <v>4</v>
      </c>
      <c r="K5">
        <f t="shared" si="3"/>
        <v>1</v>
      </c>
      <c r="L5">
        <f t="shared" si="4"/>
        <v>4.2248000000000001</v>
      </c>
      <c r="M5">
        <f t="shared" si="5"/>
        <v>-0.91480000000000006</v>
      </c>
      <c r="N5">
        <f t="shared" si="6"/>
        <v>0.83685904000000011</v>
      </c>
      <c r="P5" s="1" t="s">
        <v>2</v>
      </c>
      <c r="Q5" s="3">
        <f>CORREL(J2:J245,G2:G245)</f>
        <v>0.13179752636389336</v>
      </c>
      <c r="R5">
        <v>2</v>
      </c>
      <c r="S5">
        <v>23.68</v>
      </c>
      <c r="T5">
        <v>1</v>
      </c>
      <c r="U5">
        <v>0</v>
      </c>
      <c r="V5">
        <v>4</v>
      </c>
      <c r="W5">
        <v>1</v>
      </c>
    </row>
    <row r="6" spans="1:23" x14ac:dyDescent="0.3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H6">
        <f t="shared" si="0"/>
        <v>0</v>
      </c>
      <c r="I6">
        <f t="shared" si="1"/>
        <v>0</v>
      </c>
      <c r="J6">
        <f t="shared" si="2"/>
        <v>4</v>
      </c>
      <c r="K6">
        <f t="shared" si="3"/>
        <v>1</v>
      </c>
      <c r="L6">
        <f t="shared" si="4"/>
        <v>4.5449000000000002</v>
      </c>
      <c r="M6">
        <f t="shared" si="5"/>
        <v>-0.93490000000000029</v>
      </c>
      <c r="N6">
        <f t="shared" si="6"/>
        <v>0.87403801000000059</v>
      </c>
      <c r="P6" s="1" t="s">
        <v>3</v>
      </c>
      <c r="Q6" s="3">
        <f>CORREL(K2:K245,G2:G245)</f>
        <v>0.117596390271059</v>
      </c>
      <c r="R6">
        <v>4</v>
      </c>
      <c r="S6">
        <v>24.59</v>
      </c>
      <c r="T6">
        <v>0</v>
      </c>
      <c r="U6">
        <v>0</v>
      </c>
      <c r="V6">
        <v>4</v>
      </c>
      <c r="W6">
        <v>1</v>
      </c>
    </row>
    <row r="7" spans="1:23" x14ac:dyDescent="0.3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H7">
        <f t="shared" si="0"/>
        <v>1</v>
      </c>
      <c r="I7">
        <f t="shared" si="1"/>
        <v>0</v>
      </c>
      <c r="J7">
        <f t="shared" si="2"/>
        <v>4</v>
      </c>
      <c r="K7">
        <f t="shared" si="3"/>
        <v>1</v>
      </c>
      <c r="L7">
        <f t="shared" si="4"/>
        <v>4.7618999999999998</v>
      </c>
      <c r="M7">
        <f t="shared" si="5"/>
        <v>-5.1899999999999835E-2</v>
      </c>
      <c r="N7">
        <f t="shared" si="6"/>
        <v>2.693609999999983E-3</v>
      </c>
      <c r="P7" s="1" t="s">
        <v>4</v>
      </c>
      <c r="Q7" s="3">
        <f>CORREL(E2:E245,G2:G245)</f>
        <v>0.48840039467488378</v>
      </c>
      <c r="R7">
        <v>4</v>
      </c>
      <c r="S7">
        <v>25.29</v>
      </c>
      <c r="T7">
        <v>1</v>
      </c>
      <c r="U7">
        <v>0</v>
      </c>
      <c r="V7">
        <v>4</v>
      </c>
      <c r="W7">
        <v>1</v>
      </c>
    </row>
    <row r="8" spans="1:23" x14ac:dyDescent="0.3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H8">
        <f t="shared" si="0"/>
        <v>1</v>
      </c>
      <c r="I8">
        <f t="shared" si="1"/>
        <v>0</v>
      </c>
      <c r="J8">
        <f t="shared" si="2"/>
        <v>4</v>
      </c>
      <c r="K8">
        <f t="shared" si="3"/>
        <v>1</v>
      </c>
      <c r="L8">
        <f t="shared" si="4"/>
        <v>2.5847000000000002</v>
      </c>
      <c r="M8">
        <f t="shared" si="5"/>
        <v>-0.58470000000000022</v>
      </c>
      <c r="N8">
        <f t="shared" si="6"/>
        <v>0.34187409000000024</v>
      </c>
      <c r="P8" s="1" t="s">
        <v>13</v>
      </c>
      <c r="Q8" s="3">
        <f>CORREL(F2:F245,G2:G245)</f>
        <v>0.6749978565456074</v>
      </c>
      <c r="R8">
        <v>2</v>
      </c>
      <c r="S8">
        <v>8.77</v>
      </c>
      <c r="T8">
        <v>1</v>
      </c>
      <c r="U8">
        <v>0</v>
      </c>
      <c r="V8">
        <v>4</v>
      </c>
      <c r="W8">
        <v>1</v>
      </c>
    </row>
    <row r="9" spans="1:23" x14ac:dyDescent="0.3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H9">
        <f t="shared" si="0"/>
        <v>1</v>
      </c>
      <c r="I9">
        <f t="shared" si="1"/>
        <v>0</v>
      </c>
      <c r="J9">
        <f t="shared" si="2"/>
        <v>4</v>
      </c>
      <c r="K9">
        <f t="shared" si="3"/>
        <v>1</v>
      </c>
      <c r="L9">
        <f t="shared" si="4"/>
        <v>4.9367999999999999</v>
      </c>
      <c r="M9">
        <f t="shared" si="5"/>
        <v>-1.8167999999999997</v>
      </c>
      <c r="N9">
        <f t="shared" si="6"/>
        <v>3.3007622399999992</v>
      </c>
      <c r="R9">
        <v>4</v>
      </c>
      <c r="S9">
        <v>26.88</v>
      </c>
      <c r="T9">
        <v>1</v>
      </c>
      <c r="U9">
        <v>0</v>
      </c>
      <c r="V9">
        <v>4</v>
      </c>
      <c r="W9">
        <v>1</v>
      </c>
    </row>
    <row r="10" spans="1:23" x14ac:dyDescent="0.3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  <c r="H10">
        <f t="shared" si="0"/>
        <v>1</v>
      </c>
      <c r="I10">
        <f t="shared" si="1"/>
        <v>0</v>
      </c>
      <c r="J10">
        <f t="shared" si="2"/>
        <v>4</v>
      </c>
      <c r="K10">
        <f t="shared" si="3"/>
        <v>1</v>
      </c>
      <c r="L10">
        <f t="shared" si="4"/>
        <v>3.2744000000000004</v>
      </c>
      <c r="M10">
        <f t="shared" si="5"/>
        <v>-1.3144000000000005</v>
      </c>
      <c r="N10">
        <f t="shared" si="6"/>
        <v>1.7276473600000013</v>
      </c>
      <c r="R10">
        <v>2</v>
      </c>
      <c r="S10">
        <v>15.04</v>
      </c>
      <c r="T10">
        <v>1</v>
      </c>
      <c r="U10">
        <v>0</v>
      </c>
      <c r="V10">
        <v>4</v>
      </c>
      <c r="W10">
        <v>1</v>
      </c>
    </row>
    <row r="11" spans="1:23" x14ac:dyDescent="0.3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  <c r="H11">
        <f t="shared" si="0"/>
        <v>1</v>
      </c>
      <c r="I11">
        <f t="shared" si="1"/>
        <v>0</v>
      </c>
      <c r="J11">
        <f t="shared" si="2"/>
        <v>4</v>
      </c>
      <c r="K11">
        <f t="shared" si="3"/>
        <v>1</v>
      </c>
      <c r="L11">
        <f t="shared" si="4"/>
        <v>3.2458000000000005</v>
      </c>
      <c r="M11">
        <f t="shared" si="5"/>
        <v>-1.580000000000048E-2</v>
      </c>
      <c r="N11">
        <f t="shared" si="6"/>
        <v>2.4964000000001515E-4</v>
      </c>
      <c r="R11">
        <v>2</v>
      </c>
      <c r="S11">
        <v>14.78</v>
      </c>
      <c r="T11">
        <v>1</v>
      </c>
      <c r="U11">
        <v>0</v>
      </c>
      <c r="V11">
        <v>4</v>
      </c>
      <c r="W11">
        <v>1</v>
      </c>
    </row>
    <row r="12" spans="1:23" x14ac:dyDescent="0.3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  <c r="H12">
        <f t="shared" si="0"/>
        <v>1</v>
      </c>
      <c r="I12">
        <f t="shared" si="1"/>
        <v>0</v>
      </c>
      <c r="J12">
        <f t="shared" si="2"/>
        <v>4</v>
      </c>
      <c r="K12">
        <f t="shared" si="3"/>
        <v>1</v>
      </c>
      <c r="L12">
        <f t="shared" si="4"/>
        <v>2.7497000000000003</v>
      </c>
      <c r="M12">
        <f t="shared" si="5"/>
        <v>-1.0397000000000003</v>
      </c>
      <c r="N12">
        <f t="shared" si="6"/>
        <v>1.0809760900000005</v>
      </c>
      <c r="R12">
        <v>2</v>
      </c>
      <c r="S12">
        <v>10.27</v>
      </c>
      <c r="T12">
        <v>1</v>
      </c>
      <c r="U12">
        <v>0</v>
      </c>
      <c r="V12">
        <v>4</v>
      </c>
      <c r="W12">
        <v>1</v>
      </c>
    </row>
    <row r="13" spans="1:23" x14ac:dyDescent="0.3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  <c r="H13">
        <f t="shared" si="0"/>
        <v>0</v>
      </c>
      <c r="I13">
        <f t="shared" si="1"/>
        <v>0</v>
      </c>
      <c r="J13">
        <f t="shared" si="2"/>
        <v>4</v>
      </c>
      <c r="K13">
        <f t="shared" si="3"/>
        <v>1</v>
      </c>
      <c r="L13">
        <f t="shared" si="4"/>
        <v>5.7185999999999995</v>
      </c>
      <c r="M13">
        <f t="shared" si="5"/>
        <v>-0.71859999999999946</v>
      </c>
      <c r="N13">
        <f t="shared" si="6"/>
        <v>0.51638595999999926</v>
      </c>
      <c r="R13">
        <v>4</v>
      </c>
      <c r="S13">
        <v>35.26</v>
      </c>
      <c r="T13">
        <v>0</v>
      </c>
      <c r="U13">
        <v>0</v>
      </c>
      <c r="V13">
        <v>4</v>
      </c>
      <c r="W13">
        <v>1</v>
      </c>
    </row>
    <row r="14" spans="1:23" x14ac:dyDescent="0.3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  <c r="H14">
        <f t="shared" si="0"/>
        <v>1</v>
      </c>
      <c r="I14">
        <f t="shared" si="1"/>
        <v>0</v>
      </c>
      <c r="J14">
        <f t="shared" si="2"/>
        <v>4</v>
      </c>
      <c r="K14">
        <f t="shared" si="3"/>
        <v>1</v>
      </c>
      <c r="L14">
        <f t="shared" si="4"/>
        <v>3.3162000000000003</v>
      </c>
      <c r="M14">
        <f t="shared" si="5"/>
        <v>-1.7462000000000002</v>
      </c>
      <c r="N14">
        <f t="shared" si="6"/>
        <v>3.0492144400000005</v>
      </c>
      <c r="R14">
        <v>2</v>
      </c>
      <c r="S14">
        <v>15.42</v>
      </c>
      <c r="T14">
        <v>1</v>
      </c>
      <c r="U14">
        <v>0</v>
      </c>
      <c r="V14">
        <v>4</v>
      </c>
      <c r="W14">
        <v>1</v>
      </c>
    </row>
    <row r="15" spans="1:23" x14ac:dyDescent="0.3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  <c r="H15">
        <f t="shared" si="0"/>
        <v>1</v>
      </c>
      <c r="I15">
        <f t="shared" si="1"/>
        <v>0</v>
      </c>
      <c r="J15">
        <f t="shared" si="2"/>
        <v>4</v>
      </c>
      <c r="K15">
        <f t="shared" si="3"/>
        <v>1</v>
      </c>
      <c r="L15">
        <f t="shared" si="4"/>
        <v>4.0072999999999999</v>
      </c>
      <c r="M15">
        <f t="shared" si="5"/>
        <v>-1.0072999999999999</v>
      </c>
      <c r="N15">
        <f t="shared" si="6"/>
        <v>1.0146532899999998</v>
      </c>
      <c r="R15">
        <v>4</v>
      </c>
      <c r="S15">
        <v>18.43</v>
      </c>
      <c r="T15">
        <v>1</v>
      </c>
      <c r="U15">
        <v>0</v>
      </c>
      <c r="V15">
        <v>4</v>
      </c>
      <c r="W15">
        <v>1</v>
      </c>
    </row>
    <row r="16" spans="1:23" x14ac:dyDescent="0.3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  <c r="H16">
        <f t="shared" si="0"/>
        <v>0</v>
      </c>
      <c r="I16">
        <f t="shared" si="1"/>
        <v>0</v>
      </c>
      <c r="J16">
        <f t="shared" si="2"/>
        <v>4</v>
      </c>
      <c r="K16">
        <f t="shared" si="3"/>
        <v>1</v>
      </c>
      <c r="L16">
        <f t="shared" si="4"/>
        <v>3.1113</v>
      </c>
      <c r="M16">
        <f t="shared" si="5"/>
        <v>-9.1299999999999937E-2</v>
      </c>
      <c r="N16">
        <f t="shared" si="6"/>
        <v>8.3356899999999876E-3</v>
      </c>
      <c r="R16">
        <v>2</v>
      </c>
      <c r="S16">
        <v>14.83</v>
      </c>
      <c r="T16">
        <v>0</v>
      </c>
      <c r="U16">
        <v>0</v>
      </c>
      <c r="V16">
        <v>4</v>
      </c>
      <c r="W16">
        <v>1</v>
      </c>
    </row>
    <row r="17" spans="1:23" x14ac:dyDescent="0.3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  <c r="H17">
        <f t="shared" si="0"/>
        <v>1</v>
      </c>
      <c r="I17">
        <f t="shared" si="1"/>
        <v>0</v>
      </c>
      <c r="J17">
        <f t="shared" si="2"/>
        <v>4</v>
      </c>
      <c r="K17">
        <f t="shared" si="3"/>
        <v>1</v>
      </c>
      <c r="L17">
        <f t="shared" si="4"/>
        <v>3.9937999999999998</v>
      </c>
      <c r="M17">
        <f t="shared" si="5"/>
        <v>-7.3799999999999866E-2</v>
      </c>
      <c r="N17">
        <f t="shared" si="6"/>
        <v>5.4464399999999804E-3</v>
      </c>
      <c r="R17">
        <v>2</v>
      </c>
      <c r="S17">
        <v>21.58</v>
      </c>
      <c r="T17">
        <v>1</v>
      </c>
      <c r="U17">
        <v>0</v>
      </c>
      <c r="V17">
        <v>4</v>
      </c>
      <c r="W17">
        <v>1</v>
      </c>
    </row>
    <row r="18" spans="1:23" x14ac:dyDescent="0.3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  <c r="H18">
        <f t="shared" si="0"/>
        <v>0</v>
      </c>
      <c r="I18">
        <f t="shared" si="1"/>
        <v>0</v>
      </c>
      <c r="J18">
        <f t="shared" si="2"/>
        <v>4</v>
      </c>
      <c r="K18">
        <f t="shared" si="3"/>
        <v>1</v>
      </c>
      <c r="L18">
        <f t="shared" si="4"/>
        <v>2.7963000000000005</v>
      </c>
      <c r="M18">
        <f t="shared" si="5"/>
        <v>-1.1263000000000005</v>
      </c>
      <c r="N18">
        <f t="shared" si="6"/>
        <v>1.2685516900000011</v>
      </c>
      <c r="R18">
        <v>3</v>
      </c>
      <c r="S18">
        <v>10.33</v>
      </c>
      <c r="T18">
        <v>0</v>
      </c>
      <c r="U18">
        <v>0</v>
      </c>
      <c r="V18">
        <v>4</v>
      </c>
      <c r="W18">
        <v>1</v>
      </c>
    </row>
    <row r="19" spans="1:23" x14ac:dyDescent="0.3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  <c r="H19">
        <f t="shared" si="0"/>
        <v>1</v>
      </c>
      <c r="I19">
        <f t="shared" si="1"/>
        <v>0</v>
      </c>
      <c r="J19">
        <f t="shared" si="2"/>
        <v>4</v>
      </c>
      <c r="K19">
        <f t="shared" si="3"/>
        <v>1</v>
      </c>
      <c r="L19">
        <f t="shared" si="4"/>
        <v>3.5919000000000003</v>
      </c>
      <c r="M19">
        <f t="shared" si="5"/>
        <v>0.11809999999999965</v>
      </c>
      <c r="N19">
        <f t="shared" si="6"/>
        <v>1.3947609999999918E-2</v>
      </c>
      <c r="R19">
        <v>3</v>
      </c>
      <c r="S19">
        <v>16.29</v>
      </c>
      <c r="T19">
        <v>1</v>
      </c>
      <c r="U19">
        <v>0</v>
      </c>
      <c r="V19">
        <v>4</v>
      </c>
      <c r="W19">
        <v>1</v>
      </c>
    </row>
    <row r="20" spans="1:23" x14ac:dyDescent="0.3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  <c r="H20">
        <f t="shared" si="0"/>
        <v>0</v>
      </c>
      <c r="I20">
        <f t="shared" si="1"/>
        <v>0</v>
      </c>
      <c r="J20">
        <f t="shared" si="2"/>
        <v>4</v>
      </c>
      <c r="K20">
        <f t="shared" si="3"/>
        <v>1</v>
      </c>
      <c r="L20">
        <f t="shared" si="4"/>
        <v>3.5266999999999999</v>
      </c>
      <c r="M20">
        <f t="shared" si="5"/>
        <v>-2.6699999999999946E-2</v>
      </c>
      <c r="N20">
        <f t="shared" si="6"/>
        <v>7.1288999999999717E-4</v>
      </c>
      <c r="R20">
        <v>3</v>
      </c>
      <c r="S20">
        <v>16.97</v>
      </c>
      <c r="T20">
        <v>0</v>
      </c>
      <c r="U20">
        <v>0</v>
      </c>
      <c r="V20">
        <v>4</v>
      </c>
      <c r="W20">
        <v>1</v>
      </c>
    </row>
    <row r="21" spans="1:23" x14ac:dyDescent="0.3">
      <c r="A21" t="s">
        <v>11</v>
      </c>
      <c r="B21" t="s">
        <v>8</v>
      </c>
      <c r="C21" t="s">
        <v>14</v>
      </c>
      <c r="D21" t="s">
        <v>10</v>
      </c>
      <c r="E21">
        <v>3</v>
      </c>
      <c r="F21">
        <v>20.65</v>
      </c>
      <c r="G21">
        <v>3.35</v>
      </c>
      <c r="H21">
        <f t="shared" si="0"/>
        <v>1</v>
      </c>
      <c r="I21">
        <f t="shared" si="1"/>
        <v>0</v>
      </c>
      <c r="J21">
        <f t="shared" si="2"/>
        <v>3</v>
      </c>
      <c r="K21">
        <f t="shared" si="3"/>
        <v>1</v>
      </c>
      <c r="L21">
        <f t="shared" si="4"/>
        <v>4.0415000000000001</v>
      </c>
      <c r="M21">
        <f t="shared" si="5"/>
        <v>-0.6915</v>
      </c>
      <c r="N21">
        <f t="shared" si="6"/>
        <v>0.47817225000000002</v>
      </c>
      <c r="R21">
        <v>3</v>
      </c>
      <c r="S21">
        <v>20.65</v>
      </c>
      <c r="T21">
        <v>1</v>
      </c>
      <c r="U21">
        <v>0</v>
      </c>
      <c r="V21">
        <v>3</v>
      </c>
      <c r="W21">
        <v>1</v>
      </c>
    </row>
    <row r="22" spans="1:23" x14ac:dyDescent="0.3">
      <c r="A22" t="s">
        <v>11</v>
      </c>
      <c r="B22" t="s">
        <v>8</v>
      </c>
      <c r="C22" t="s">
        <v>14</v>
      </c>
      <c r="D22" t="s">
        <v>10</v>
      </c>
      <c r="E22">
        <v>2</v>
      </c>
      <c r="F22">
        <v>17.920000000000002</v>
      </c>
      <c r="G22">
        <v>4.08</v>
      </c>
      <c r="H22">
        <f t="shared" si="0"/>
        <v>1</v>
      </c>
      <c r="I22">
        <f t="shared" si="1"/>
        <v>0</v>
      </c>
      <c r="J22">
        <f t="shared" si="2"/>
        <v>3</v>
      </c>
      <c r="K22">
        <f t="shared" si="3"/>
        <v>1</v>
      </c>
      <c r="L22">
        <f t="shared" si="4"/>
        <v>3.5612000000000004</v>
      </c>
      <c r="M22">
        <f t="shared" si="5"/>
        <v>0.51879999999999971</v>
      </c>
      <c r="N22">
        <f t="shared" si="6"/>
        <v>0.26915343999999969</v>
      </c>
      <c r="R22">
        <v>2</v>
      </c>
      <c r="S22">
        <v>17.920000000000002</v>
      </c>
      <c r="T22">
        <v>1</v>
      </c>
      <c r="U22">
        <v>0</v>
      </c>
      <c r="V22">
        <v>3</v>
      </c>
      <c r="W22">
        <v>1</v>
      </c>
    </row>
    <row r="23" spans="1:23" x14ac:dyDescent="0.3">
      <c r="A23" t="s">
        <v>7</v>
      </c>
      <c r="B23" t="s">
        <v>8</v>
      </c>
      <c r="C23" t="s">
        <v>14</v>
      </c>
      <c r="D23" t="s">
        <v>10</v>
      </c>
      <c r="E23">
        <v>2</v>
      </c>
      <c r="F23">
        <v>20.29</v>
      </c>
      <c r="G23">
        <v>2.75</v>
      </c>
      <c r="H23">
        <f t="shared" si="0"/>
        <v>0</v>
      </c>
      <c r="I23">
        <f t="shared" si="1"/>
        <v>0</v>
      </c>
      <c r="J23">
        <f t="shared" si="2"/>
        <v>3</v>
      </c>
      <c r="K23">
        <f t="shared" si="3"/>
        <v>1</v>
      </c>
      <c r="L23">
        <f t="shared" si="4"/>
        <v>3.6818999999999997</v>
      </c>
      <c r="M23">
        <f t="shared" si="5"/>
        <v>-0.93189999999999973</v>
      </c>
      <c r="N23">
        <f t="shared" si="6"/>
        <v>0.86843760999999953</v>
      </c>
      <c r="R23">
        <v>2</v>
      </c>
      <c r="S23">
        <v>20.29</v>
      </c>
      <c r="T23">
        <v>0</v>
      </c>
      <c r="U23">
        <v>0</v>
      </c>
      <c r="V23">
        <v>3</v>
      </c>
      <c r="W23">
        <v>1</v>
      </c>
    </row>
    <row r="24" spans="1:23" x14ac:dyDescent="0.3">
      <c r="A24" t="s">
        <v>7</v>
      </c>
      <c r="B24" t="s">
        <v>8</v>
      </c>
      <c r="C24" t="s">
        <v>14</v>
      </c>
      <c r="D24" t="s">
        <v>10</v>
      </c>
      <c r="E24">
        <v>2</v>
      </c>
      <c r="F24">
        <v>15.77</v>
      </c>
      <c r="G24">
        <v>2.23</v>
      </c>
      <c r="H24">
        <f t="shared" si="0"/>
        <v>0</v>
      </c>
      <c r="I24">
        <f t="shared" si="1"/>
        <v>0</v>
      </c>
      <c r="J24">
        <f t="shared" si="2"/>
        <v>3</v>
      </c>
      <c r="K24">
        <f t="shared" si="3"/>
        <v>1</v>
      </c>
      <c r="L24">
        <f t="shared" si="4"/>
        <v>3.1846999999999999</v>
      </c>
      <c r="M24">
        <f t="shared" si="5"/>
        <v>-0.95469999999999988</v>
      </c>
      <c r="N24">
        <f t="shared" si="6"/>
        <v>0.91145208999999983</v>
      </c>
      <c r="R24">
        <v>2</v>
      </c>
      <c r="S24">
        <v>15.77</v>
      </c>
      <c r="T24">
        <v>0</v>
      </c>
      <c r="U24">
        <v>0</v>
      </c>
      <c r="V24">
        <v>3</v>
      </c>
      <c r="W24">
        <v>1</v>
      </c>
    </row>
    <row r="25" spans="1:23" x14ac:dyDescent="0.3">
      <c r="A25" t="s">
        <v>11</v>
      </c>
      <c r="B25" t="s">
        <v>8</v>
      </c>
      <c r="C25" t="s">
        <v>14</v>
      </c>
      <c r="D25" t="s">
        <v>10</v>
      </c>
      <c r="E25">
        <v>4</v>
      </c>
      <c r="F25">
        <v>39.42</v>
      </c>
      <c r="G25">
        <v>7.58</v>
      </c>
      <c r="H25">
        <f t="shared" si="0"/>
        <v>1</v>
      </c>
      <c r="I25">
        <f t="shared" si="1"/>
        <v>0</v>
      </c>
      <c r="J25">
        <f t="shared" si="2"/>
        <v>3</v>
      </c>
      <c r="K25">
        <f t="shared" si="3"/>
        <v>1</v>
      </c>
      <c r="L25">
        <f t="shared" si="4"/>
        <v>6.2862</v>
      </c>
      <c r="M25">
        <f t="shared" si="5"/>
        <v>1.2938000000000001</v>
      </c>
      <c r="N25">
        <f t="shared" si="6"/>
        <v>1.6739184400000002</v>
      </c>
      <c r="R25">
        <v>4</v>
      </c>
      <c r="S25">
        <v>39.42</v>
      </c>
      <c r="T25">
        <v>1</v>
      </c>
      <c r="U25">
        <v>0</v>
      </c>
      <c r="V25">
        <v>3</v>
      </c>
      <c r="W25">
        <v>1</v>
      </c>
    </row>
    <row r="26" spans="1:23" x14ac:dyDescent="0.3">
      <c r="A26" t="s">
        <v>11</v>
      </c>
      <c r="B26" t="s">
        <v>8</v>
      </c>
      <c r="C26" t="s">
        <v>14</v>
      </c>
      <c r="D26" t="s">
        <v>10</v>
      </c>
      <c r="E26">
        <v>2</v>
      </c>
      <c r="F26">
        <v>19.82</v>
      </c>
      <c r="G26">
        <v>3.18</v>
      </c>
      <c r="H26">
        <f t="shared" si="0"/>
        <v>1</v>
      </c>
      <c r="I26">
        <f t="shared" si="1"/>
        <v>0</v>
      </c>
      <c r="J26">
        <f t="shared" si="2"/>
        <v>3</v>
      </c>
      <c r="K26">
        <f t="shared" si="3"/>
        <v>1</v>
      </c>
      <c r="L26">
        <f t="shared" si="4"/>
        <v>3.7702000000000004</v>
      </c>
      <c r="M26">
        <f t="shared" si="5"/>
        <v>-0.59020000000000028</v>
      </c>
      <c r="N26">
        <f t="shared" si="6"/>
        <v>0.34833604000000035</v>
      </c>
      <c r="R26">
        <v>2</v>
      </c>
      <c r="S26">
        <v>19.82</v>
      </c>
      <c r="T26">
        <v>1</v>
      </c>
      <c r="U26">
        <v>0</v>
      </c>
      <c r="V26">
        <v>3</v>
      </c>
      <c r="W26">
        <v>1</v>
      </c>
    </row>
    <row r="27" spans="1:23" x14ac:dyDescent="0.3">
      <c r="A27" t="s">
        <v>11</v>
      </c>
      <c r="B27" t="s">
        <v>8</v>
      </c>
      <c r="C27" t="s">
        <v>14</v>
      </c>
      <c r="D27" t="s">
        <v>10</v>
      </c>
      <c r="E27">
        <v>4</v>
      </c>
      <c r="F27">
        <v>17.809999999999999</v>
      </c>
      <c r="G27">
        <v>2.34</v>
      </c>
      <c r="H27">
        <f t="shared" si="0"/>
        <v>1</v>
      </c>
      <c r="I27">
        <f t="shared" si="1"/>
        <v>0</v>
      </c>
      <c r="J27">
        <f t="shared" si="2"/>
        <v>3</v>
      </c>
      <c r="K27">
        <f t="shared" si="3"/>
        <v>1</v>
      </c>
      <c r="L27">
        <f t="shared" si="4"/>
        <v>3.9091</v>
      </c>
      <c r="M27">
        <f t="shared" si="5"/>
        <v>-1.5691000000000002</v>
      </c>
      <c r="N27">
        <f t="shared" si="6"/>
        <v>2.4620748100000007</v>
      </c>
      <c r="R27">
        <v>4</v>
      </c>
      <c r="S27">
        <v>17.809999999999999</v>
      </c>
      <c r="T27">
        <v>1</v>
      </c>
      <c r="U27">
        <v>0</v>
      </c>
      <c r="V27">
        <v>3</v>
      </c>
      <c r="W27">
        <v>1</v>
      </c>
    </row>
    <row r="28" spans="1:23" x14ac:dyDescent="0.3">
      <c r="A28" t="s">
        <v>11</v>
      </c>
      <c r="B28" t="s">
        <v>8</v>
      </c>
      <c r="C28" t="s">
        <v>14</v>
      </c>
      <c r="D28" t="s">
        <v>10</v>
      </c>
      <c r="E28">
        <v>2</v>
      </c>
      <c r="F28">
        <v>13.37</v>
      </c>
      <c r="G28">
        <v>2</v>
      </c>
      <c r="H28">
        <f t="shared" si="0"/>
        <v>1</v>
      </c>
      <c r="I28">
        <f t="shared" si="1"/>
        <v>0</v>
      </c>
      <c r="J28">
        <f t="shared" si="2"/>
        <v>3</v>
      </c>
      <c r="K28">
        <f t="shared" si="3"/>
        <v>1</v>
      </c>
      <c r="L28">
        <f t="shared" si="4"/>
        <v>3.0607000000000002</v>
      </c>
      <c r="M28">
        <f t="shared" si="5"/>
        <v>-1.0607000000000002</v>
      </c>
      <c r="N28">
        <f t="shared" si="6"/>
        <v>1.1250844900000003</v>
      </c>
      <c r="R28">
        <v>2</v>
      </c>
      <c r="S28">
        <v>13.37</v>
      </c>
      <c r="T28">
        <v>1</v>
      </c>
      <c r="U28">
        <v>0</v>
      </c>
      <c r="V28">
        <v>3</v>
      </c>
      <c r="W28">
        <v>1</v>
      </c>
    </row>
    <row r="29" spans="1:23" x14ac:dyDescent="0.3">
      <c r="A29" t="s">
        <v>11</v>
      </c>
      <c r="B29" t="s">
        <v>8</v>
      </c>
      <c r="C29" t="s">
        <v>14</v>
      </c>
      <c r="D29" t="s">
        <v>10</v>
      </c>
      <c r="E29">
        <v>2</v>
      </c>
      <c r="F29">
        <v>12.69</v>
      </c>
      <c r="G29">
        <v>2</v>
      </c>
      <c r="H29">
        <f t="shared" si="0"/>
        <v>1</v>
      </c>
      <c r="I29">
        <f t="shared" si="1"/>
        <v>0</v>
      </c>
      <c r="J29">
        <f t="shared" si="2"/>
        <v>3</v>
      </c>
      <c r="K29">
        <f t="shared" si="3"/>
        <v>1</v>
      </c>
      <c r="L29">
        <f t="shared" si="4"/>
        <v>2.9859</v>
      </c>
      <c r="M29">
        <f t="shared" si="5"/>
        <v>-0.9859</v>
      </c>
      <c r="N29">
        <f t="shared" si="6"/>
        <v>0.97199880999999999</v>
      </c>
      <c r="R29">
        <v>2</v>
      </c>
      <c r="S29">
        <v>12.69</v>
      </c>
      <c r="T29">
        <v>1</v>
      </c>
      <c r="U29">
        <v>0</v>
      </c>
      <c r="V29">
        <v>3</v>
      </c>
      <c r="W29">
        <v>1</v>
      </c>
    </row>
    <row r="30" spans="1:23" x14ac:dyDescent="0.3">
      <c r="A30" t="s">
        <v>11</v>
      </c>
      <c r="B30" t="s">
        <v>8</v>
      </c>
      <c r="C30" t="s">
        <v>14</v>
      </c>
      <c r="D30" t="s">
        <v>10</v>
      </c>
      <c r="E30">
        <v>2</v>
      </c>
      <c r="F30">
        <v>21.7</v>
      </c>
      <c r="G30">
        <v>4.3</v>
      </c>
      <c r="H30">
        <f t="shared" si="0"/>
        <v>1</v>
      </c>
      <c r="I30">
        <f t="shared" si="1"/>
        <v>0</v>
      </c>
      <c r="J30">
        <f t="shared" si="2"/>
        <v>3</v>
      </c>
      <c r="K30">
        <f t="shared" si="3"/>
        <v>1</v>
      </c>
      <c r="L30">
        <f t="shared" si="4"/>
        <v>3.9769999999999999</v>
      </c>
      <c r="M30">
        <f t="shared" si="5"/>
        <v>0.32299999999999995</v>
      </c>
      <c r="N30">
        <f t="shared" si="6"/>
        <v>0.10432899999999996</v>
      </c>
      <c r="R30">
        <v>2</v>
      </c>
      <c r="S30">
        <v>21.7</v>
      </c>
      <c r="T30">
        <v>1</v>
      </c>
      <c r="U30">
        <v>0</v>
      </c>
      <c r="V30">
        <v>3</v>
      </c>
      <c r="W30">
        <v>1</v>
      </c>
    </row>
    <row r="31" spans="1:23" x14ac:dyDescent="0.3">
      <c r="A31" t="s">
        <v>7</v>
      </c>
      <c r="B31" t="s">
        <v>8</v>
      </c>
      <c r="C31" t="s">
        <v>14</v>
      </c>
      <c r="D31" t="s">
        <v>10</v>
      </c>
      <c r="E31">
        <v>2</v>
      </c>
      <c r="F31">
        <v>19.649999999999999</v>
      </c>
      <c r="G31">
        <v>3</v>
      </c>
      <c r="H31">
        <f t="shared" si="0"/>
        <v>0</v>
      </c>
      <c r="I31">
        <f t="shared" si="1"/>
        <v>0</v>
      </c>
      <c r="J31">
        <f t="shared" si="2"/>
        <v>3</v>
      </c>
      <c r="K31">
        <f t="shared" si="3"/>
        <v>1</v>
      </c>
      <c r="L31">
        <f t="shared" si="4"/>
        <v>3.6114999999999995</v>
      </c>
      <c r="M31">
        <f t="shared" si="5"/>
        <v>-0.61149999999999949</v>
      </c>
      <c r="N31">
        <f t="shared" si="6"/>
        <v>0.37393224999999936</v>
      </c>
      <c r="R31">
        <v>2</v>
      </c>
      <c r="S31">
        <v>19.649999999999999</v>
      </c>
      <c r="T31">
        <v>0</v>
      </c>
      <c r="U31">
        <v>0</v>
      </c>
      <c r="V31">
        <v>3</v>
      </c>
      <c r="W31">
        <v>1</v>
      </c>
    </row>
    <row r="32" spans="1:23" x14ac:dyDescent="0.3">
      <c r="A32" t="s">
        <v>11</v>
      </c>
      <c r="B32" t="s">
        <v>8</v>
      </c>
      <c r="C32" t="s">
        <v>14</v>
      </c>
      <c r="D32" t="s">
        <v>10</v>
      </c>
      <c r="E32">
        <v>2</v>
      </c>
      <c r="F32">
        <v>9.5500000000000007</v>
      </c>
      <c r="G32">
        <v>1.45</v>
      </c>
      <c r="H32">
        <f t="shared" si="0"/>
        <v>1</v>
      </c>
      <c r="I32">
        <f t="shared" si="1"/>
        <v>0</v>
      </c>
      <c r="J32">
        <f t="shared" si="2"/>
        <v>3</v>
      </c>
      <c r="K32">
        <f t="shared" si="3"/>
        <v>1</v>
      </c>
      <c r="L32">
        <f t="shared" si="4"/>
        <v>2.6404999999999998</v>
      </c>
      <c r="M32">
        <f t="shared" si="5"/>
        <v>-1.1904999999999999</v>
      </c>
      <c r="N32">
        <f t="shared" si="6"/>
        <v>1.4172902499999998</v>
      </c>
      <c r="R32">
        <v>2</v>
      </c>
      <c r="S32">
        <v>9.5500000000000007</v>
      </c>
      <c r="T32">
        <v>1</v>
      </c>
      <c r="U32">
        <v>0</v>
      </c>
      <c r="V32">
        <v>3</v>
      </c>
      <c r="W32">
        <v>1</v>
      </c>
    </row>
    <row r="33" spans="1:23" x14ac:dyDescent="0.3">
      <c r="A33" t="s">
        <v>11</v>
      </c>
      <c r="B33" t="s">
        <v>8</v>
      </c>
      <c r="C33" t="s">
        <v>14</v>
      </c>
      <c r="D33" t="s">
        <v>10</v>
      </c>
      <c r="E33">
        <v>4</v>
      </c>
      <c r="F33">
        <v>18.350000000000001</v>
      </c>
      <c r="G33">
        <v>2.5</v>
      </c>
      <c r="H33">
        <f t="shared" si="0"/>
        <v>1</v>
      </c>
      <c r="I33">
        <f t="shared" si="1"/>
        <v>0</v>
      </c>
      <c r="J33">
        <f t="shared" si="2"/>
        <v>3</v>
      </c>
      <c r="K33">
        <f t="shared" si="3"/>
        <v>1</v>
      </c>
      <c r="L33">
        <f t="shared" si="4"/>
        <v>3.9685000000000001</v>
      </c>
      <c r="M33">
        <f t="shared" si="5"/>
        <v>-1.4685000000000001</v>
      </c>
      <c r="N33">
        <f t="shared" si="6"/>
        <v>2.1564922500000003</v>
      </c>
      <c r="R33">
        <v>4</v>
      </c>
      <c r="S33">
        <v>18.350000000000001</v>
      </c>
      <c r="T33">
        <v>1</v>
      </c>
      <c r="U33">
        <v>0</v>
      </c>
      <c r="V33">
        <v>3</v>
      </c>
      <c r="W33">
        <v>1</v>
      </c>
    </row>
    <row r="34" spans="1:23" x14ac:dyDescent="0.3">
      <c r="A34" t="s">
        <v>7</v>
      </c>
      <c r="B34" t="s">
        <v>8</v>
      </c>
      <c r="C34" t="s">
        <v>14</v>
      </c>
      <c r="D34" t="s">
        <v>10</v>
      </c>
      <c r="E34">
        <v>2</v>
      </c>
      <c r="F34">
        <v>15.06</v>
      </c>
      <c r="G34">
        <v>3</v>
      </c>
      <c r="H34">
        <f t="shared" si="0"/>
        <v>0</v>
      </c>
      <c r="I34">
        <f t="shared" si="1"/>
        <v>0</v>
      </c>
      <c r="J34">
        <f t="shared" si="2"/>
        <v>3</v>
      </c>
      <c r="K34">
        <f t="shared" si="3"/>
        <v>1</v>
      </c>
      <c r="L34">
        <f t="shared" si="4"/>
        <v>3.1066000000000003</v>
      </c>
      <c r="M34">
        <f t="shared" si="5"/>
        <v>-0.10660000000000025</v>
      </c>
      <c r="N34">
        <f t="shared" si="6"/>
        <v>1.1363560000000054E-2</v>
      </c>
      <c r="R34">
        <v>2</v>
      </c>
      <c r="S34">
        <v>15.06</v>
      </c>
      <c r="T34">
        <v>0</v>
      </c>
      <c r="U34">
        <v>0</v>
      </c>
      <c r="V34">
        <v>3</v>
      </c>
      <c r="W34">
        <v>1</v>
      </c>
    </row>
    <row r="35" spans="1:23" x14ac:dyDescent="0.3">
      <c r="A35" t="s">
        <v>7</v>
      </c>
      <c r="B35" t="s">
        <v>8</v>
      </c>
      <c r="C35" t="s">
        <v>14</v>
      </c>
      <c r="D35" t="s">
        <v>10</v>
      </c>
      <c r="E35">
        <v>4</v>
      </c>
      <c r="F35">
        <v>20.69</v>
      </c>
      <c r="G35">
        <v>2.4500000000000002</v>
      </c>
      <c r="H35">
        <f t="shared" si="0"/>
        <v>0</v>
      </c>
      <c r="I35">
        <f t="shared" si="1"/>
        <v>0</v>
      </c>
      <c r="J35">
        <f t="shared" si="2"/>
        <v>3</v>
      </c>
      <c r="K35">
        <f t="shared" si="3"/>
        <v>1</v>
      </c>
      <c r="L35">
        <f t="shared" si="4"/>
        <v>4.0859000000000005</v>
      </c>
      <c r="M35">
        <f t="shared" si="5"/>
        <v>-1.6359000000000004</v>
      </c>
      <c r="N35">
        <f t="shared" si="6"/>
        <v>2.676168810000001</v>
      </c>
      <c r="R35">
        <v>4</v>
      </c>
      <c r="S35">
        <v>20.69</v>
      </c>
      <c r="T35">
        <v>0</v>
      </c>
      <c r="U35">
        <v>0</v>
      </c>
      <c r="V35">
        <v>3</v>
      </c>
      <c r="W35">
        <v>1</v>
      </c>
    </row>
    <row r="36" spans="1:23" x14ac:dyDescent="0.3">
      <c r="A36" t="s">
        <v>11</v>
      </c>
      <c r="B36" t="s">
        <v>8</v>
      </c>
      <c r="C36" t="s">
        <v>14</v>
      </c>
      <c r="D36" t="s">
        <v>10</v>
      </c>
      <c r="E36">
        <v>2</v>
      </c>
      <c r="F36">
        <v>17.78</v>
      </c>
      <c r="G36">
        <v>3.27</v>
      </c>
      <c r="H36">
        <f t="shared" si="0"/>
        <v>1</v>
      </c>
      <c r="I36">
        <f t="shared" si="1"/>
        <v>0</v>
      </c>
      <c r="J36">
        <f t="shared" si="2"/>
        <v>3</v>
      </c>
      <c r="K36">
        <f t="shared" si="3"/>
        <v>1</v>
      </c>
      <c r="L36">
        <f t="shared" si="4"/>
        <v>3.5458000000000003</v>
      </c>
      <c r="M36">
        <f t="shared" si="5"/>
        <v>-0.27580000000000027</v>
      </c>
      <c r="N36">
        <f t="shared" si="6"/>
        <v>7.6065640000000143E-2</v>
      </c>
      <c r="R36">
        <v>2</v>
      </c>
      <c r="S36">
        <v>17.78</v>
      </c>
      <c r="T36">
        <v>1</v>
      </c>
      <c r="U36">
        <v>0</v>
      </c>
      <c r="V36">
        <v>3</v>
      </c>
      <c r="W36">
        <v>1</v>
      </c>
    </row>
    <row r="37" spans="1:23" x14ac:dyDescent="0.3">
      <c r="A37" t="s">
        <v>11</v>
      </c>
      <c r="B37" t="s">
        <v>8</v>
      </c>
      <c r="C37" t="s">
        <v>14</v>
      </c>
      <c r="D37" t="s">
        <v>10</v>
      </c>
      <c r="E37">
        <v>3</v>
      </c>
      <c r="F37">
        <v>24.06</v>
      </c>
      <c r="G37">
        <v>3.6</v>
      </c>
      <c r="H37">
        <f t="shared" si="0"/>
        <v>1</v>
      </c>
      <c r="I37">
        <f t="shared" si="1"/>
        <v>0</v>
      </c>
      <c r="J37">
        <f t="shared" si="2"/>
        <v>3</v>
      </c>
      <c r="K37">
        <f t="shared" si="3"/>
        <v>1</v>
      </c>
      <c r="L37">
        <f t="shared" si="4"/>
        <v>4.4165999999999999</v>
      </c>
      <c r="M37">
        <f t="shared" si="5"/>
        <v>-0.81659999999999977</v>
      </c>
      <c r="N37">
        <f t="shared" si="6"/>
        <v>0.66683555999999966</v>
      </c>
      <c r="R37">
        <v>3</v>
      </c>
      <c r="S37">
        <v>24.06</v>
      </c>
      <c r="T37">
        <v>1</v>
      </c>
      <c r="U37">
        <v>0</v>
      </c>
      <c r="V37">
        <v>3</v>
      </c>
      <c r="W37">
        <v>1</v>
      </c>
    </row>
    <row r="38" spans="1:23" x14ac:dyDescent="0.3">
      <c r="A38" t="s">
        <v>11</v>
      </c>
      <c r="B38" t="s">
        <v>8</v>
      </c>
      <c r="C38" t="s">
        <v>14</v>
      </c>
      <c r="D38" t="s">
        <v>10</v>
      </c>
      <c r="E38">
        <v>3</v>
      </c>
      <c r="F38">
        <v>16.309999999999999</v>
      </c>
      <c r="G38">
        <v>2</v>
      </c>
      <c r="H38">
        <f t="shared" si="0"/>
        <v>1</v>
      </c>
      <c r="I38">
        <f t="shared" si="1"/>
        <v>0</v>
      </c>
      <c r="J38">
        <f t="shared" si="2"/>
        <v>3</v>
      </c>
      <c r="K38">
        <f t="shared" si="3"/>
        <v>1</v>
      </c>
      <c r="L38">
        <f t="shared" si="4"/>
        <v>3.5640999999999998</v>
      </c>
      <c r="M38">
        <f t="shared" si="5"/>
        <v>-1.5640999999999998</v>
      </c>
      <c r="N38">
        <f t="shared" si="6"/>
        <v>2.4464088099999994</v>
      </c>
      <c r="R38">
        <v>3</v>
      </c>
      <c r="S38">
        <v>16.309999999999999</v>
      </c>
      <c r="T38">
        <v>1</v>
      </c>
      <c r="U38">
        <v>0</v>
      </c>
      <c r="V38">
        <v>3</v>
      </c>
      <c r="W38">
        <v>1</v>
      </c>
    </row>
    <row r="39" spans="1:23" x14ac:dyDescent="0.3">
      <c r="A39" t="s">
        <v>7</v>
      </c>
      <c r="B39" t="s">
        <v>8</v>
      </c>
      <c r="C39" t="s">
        <v>14</v>
      </c>
      <c r="D39" t="s">
        <v>10</v>
      </c>
      <c r="E39">
        <v>3</v>
      </c>
      <c r="F39">
        <v>16.93</v>
      </c>
      <c r="G39">
        <v>3.07</v>
      </c>
      <c r="H39">
        <f t="shared" si="0"/>
        <v>0</v>
      </c>
      <c r="I39">
        <f t="shared" si="1"/>
        <v>0</v>
      </c>
      <c r="J39">
        <f t="shared" si="2"/>
        <v>3</v>
      </c>
      <c r="K39">
        <f t="shared" si="3"/>
        <v>1</v>
      </c>
      <c r="L39">
        <f t="shared" si="4"/>
        <v>3.4923000000000002</v>
      </c>
      <c r="M39">
        <f t="shared" si="5"/>
        <v>-0.42230000000000034</v>
      </c>
      <c r="N39">
        <f t="shared" si="6"/>
        <v>0.17833729000000029</v>
      </c>
      <c r="R39">
        <v>3</v>
      </c>
      <c r="S39">
        <v>16.93</v>
      </c>
      <c r="T39">
        <v>0</v>
      </c>
      <c r="U39">
        <v>0</v>
      </c>
      <c r="V39">
        <v>3</v>
      </c>
      <c r="W39">
        <v>1</v>
      </c>
    </row>
    <row r="40" spans="1:23" x14ac:dyDescent="0.3">
      <c r="A40" t="s">
        <v>11</v>
      </c>
      <c r="B40" t="s">
        <v>8</v>
      </c>
      <c r="C40" t="s">
        <v>14</v>
      </c>
      <c r="D40" t="s">
        <v>10</v>
      </c>
      <c r="E40">
        <v>3</v>
      </c>
      <c r="F40">
        <v>18.690000000000001</v>
      </c>
      <c r="G40">
        <v>2.31</v>
      </c>
      <c r="H40">
        <f t="shared" si="0"/>
        <v>1</v>
      </c>
      <c r="I40">
        <f t="shared" si="1"/>
        <v>0</v>
      </c>
      <c r="J40">
        <f t="shared" si="2"/>
        <v>3</v>
      </c>
      <c r="K40">
        <f t="shared" si="3"/>
        <v>1</v>
      </c>
      <c r="L40">
        <f t="shared" si="4"/>
        <v>3.8259000000000003</v>
      </c>
      <c r="M40">
        <f t="shared" si="5"/>
        <v>-1.5159000000000002</v>
      </c>
      <c r="N40">
        <f t="shared" si="6"/>
        <v>2.2979528100000008</v>
      </c>
      <c r="R40">
        <v>3</v>
      </c>
      <c r="S40">
        <v>18.690000000000001</v>
      </c>
      <c r="T40">
        <v>1</v>
      </c>
      <c r="U40">
        <v>0</v>
      </c>
      <c r="V40">
        <v>3</v>
      </c>
      <c r="W40">
        <v>1</v>
      </c>
    </row>
    <row r="41" spans="1:23" x14ac:dyDescent="0.3">
      <c r="A41" t="s">
        <v>11</v>
      </c>
      <c r="B41" t="s">
        <v>8</v>
      </c>
      <c r="C41" t="s">
        <v>14</v>
      </c>
      <c r="D41" t="s">
        <v>10</v>
      </c>
      <c r="E41">
        <v>3</v>
      </c>
      <c r="F41">
        <v>31.27</v>
      </c>
      <c r="G41">
        <v>5</v>
      </c>
      <c r="H41">
        <f t="shared" si="0"/>
        <v>1</v>
      </c>
      <c r="I41">
        <f t="shared" si="1"/>
        <v>0</v>
      </c>
      <c r="J41">
        <f t="shared" si="2"/>
        <v>3</v>
      </c>
      <c r="K41">
        <f t="shared" si="3"/>
        <v>1</v>
      </c>
      <c r="L41">
        <f t="shared" si="4"/>
        <v>5.2096999999999989</v>
      </c>
      <c r="M41">
        <f t="shared" si="5"/>
        <v>-0.20969999999999889</v>
      </c>
      <c r="N41">
        <f t="shared" si="6"/>
        <v>4.3974089999999535E-2</v>
      </c>
      <c r="R41">
        <v>3</v>
      </c>
      <c r="S41">
        <v>31.27</v>
      </c>
      <c r="T41">
        <v>1</v>
      </c>
      <c r="U41">
        <v>0</v>
      </c>
      <c r="V41">
        <v>3</v>
      </c>
      <c r="W41">
        <v>1</v>
      </c>
    </row>
    <row r="42" spans="1:23" x14ac:dyDescent="0.3">
      <c r="A42" t="s">
        <v>11</v>
      </c>
      <c r="B42" t="s">
        <v>8</v>
      </c>
      <c r="C42" t="s">
        <v>14</v>
      </c>
      <c r="D42" t="s">
        <v>10</v>
      </c>
      <c r="E42">
        <v>3</v>
      </c>
      <c r="F42">
        <v>16.04</v>
      </c>
      <c r="G42">
        <v>2.2400000000000002</v>
      </c>
      <c r="H42">
        <f t="shared" si="0"/>
        <v>1</v>
      </c>
      <c r="I42">
        <f t="shared" si="1"/>
        <v>0</v>
      </c>
      <c r="J42">
        <f t="shared" si="2"/>
        <v>3</v>
      </c>
      <c r="K42">
        <f t="shared" si="3"/>
        <v>1</v>
      </c>
      <c r="L42">
        <f t="shared" si="4"/>
        <v>3.5344000000000002</v>
      </c>
      <c r="M42">
        <f t="shared" si="5"/>
        <v>-1.2944</v>
      </c>
      <c r="N42">
        <f t="shared" si="6"/>
        <v>1.67547136</v>
      </c>
      <c r="R42">
        <v>3</v>
      </c>
      <c r="S42">
        <v>16.04</v>
      </c>
      <c r="T42">
        <v>1</v>
      </c>
      <c r="U42">
        <v>0</v>
      </c>
      <c r="V42">
        <v>3</v>
      </c>
      <c r="W42">
        <v>1</v>
      </c>
    </row>
    <row r="43" spans="1:23" x14ac:dyDescent="0.3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  <c r="H43">
        <f t="shared" si="0"/>
        <v>1</v>
      </c>
      <c r="I43">
        <f t="shared" si="1"/>
        <v>0</v>
      </c>
      <c r="J43">
        <f t="shared" si="2"/>
        <v>4</v>
      </c>
      <c r="K43">
        <f t="shared" si="3"/>
        <v>1</v>
      </c>
      <c r="L43">
        <f t="shared" si="4"/>
        <v>3.5406000000000004</v>
      </c>
      <c r="M43">
        <f t="shared" si="5"/>
        <v>-1.0006000000000004</v>
      </c>
      <c r="N43">
        <f t="shared" si="6"/>
        <v>1.0012003600000008</v>
      </c>
      <c r="R43">
        <v>2</v>
      </c>
      <c r="S43">
        <v>17.46</v>
      </c>
      <c r="T43">
        <v>1</v>
      </c>
      <c r="U43">
        <v>0</v>
      </c>
      <c r="V43">
        <v>4</v>
      </c>
      <c r="W43">
        <v>1</v>
      </c>
    </row>
    <row r="44" spans="1:23" x14ac:dyDescent="0.3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  <c r="H44">
        <f t="shared" si="0"/>
        <v>1</v>
      </c>
      <c r="I44">
        <f t="shared" si="1"/>
        <v>0</v>
      </c>
      <c r="J44">
        <f t="shared" si="2"/>
        <v>4</v>
      </c>
      <c r="K44">
        <f t="shared" si="3"/>
        <v>1</v>
      </c>
      <c r="L44">
        <f t="shared" si="4"/>
        <v>3.1534</v>
      </c>
      <c r="M44">
        <f t="shared" si="5"/>
        <v>-9.3399999999999928E-2</v>
      </c>
      <c r="N44">
        <f t="shared" si="6"/>
        <v>8.7235599999999861E-3</v>
      </c>
      <c r="R44">
        <v>2</v>
      </c>
      <c r="S44">
        <v>13.94</v>
      </c>
      <c r="T44">
        <v>1</v>
      </c>
      <c r="U44">
        <v>0</v>
      </c>
      <c r="V44">
        <v>4</v>
      </c>
      <c r="W44">
        <v>1</v>
      </c>
    </row>
    <row r="45" spans="1:23" x14ac:dyDescent="0.3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  <c r="H45">
        <f t="shared" si="0"/>
        <v>1</v>
      </c>
      <c r="I45">
        <f t="shared" si="1"/>
        <v>0</v>
      </c>
      <c r="J45">
        <f t="shared" si="2"/>
        <v>4</v>
      </c>
      <c r="K45">
        <f t="shared" si="3"/>
        <v>1</v>
      </c>
      <c r="L45">
        <f t="shared" si="4"/>
        <v>2.6848000000000005</v>
      </c>
      <c r="M45">
        <f t="shared" si="5"/>
        <v>-1.3648000000000005</v>
      </c>
      <c r="N45">
        <f t="shared" si="6"/>
        <v>1.8626790400000013</v>
      </c>
      <c r="R45">
        <v>2</v>
      </c>
      <c r="S45">
        <v>9.68</v>
      </c>
      <c r="T45">
        <v>1</v>
      </c>
      <c r="U45">
        <v>0</v>
      </c>
      <c r="V45">
        <v>4</v>
      </c>
      <c r="W45">
        <v>1</v>
      </c>
    </row>
    <row r="46" spans="1:23" x14ac:dyDescent="0.3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  <c r="H46">
        <f t="shared" si="0"/>
        <v>1</v>
      </c>
      <c r="I46">
        <f t="shared" si="1"/>
        <v>0</v>
      </c>
      <c r="J46">
        <f t="shared" si="2"/>
        <v>4</v>
      </c>
      <c r="K46">
        <f t="shared" si="3"/>
        <v>1</v>
      </c>
      <c r="L46">
        <f t="shared" si="4"/>
        <v>5.3239999999999998</v>
      </c>
      <c r="M46">
        <f t="shared" si="5"/>
        <v>0.2759999999999998</v>
      </c>
      <c r="N46">
        <f t="shared" si="6"/>
        <v>7.6175999999999897E-2</v>
      </c>
      <c r="R46">
        <v>4</v>
      </c>
      <c r="S46">
        <v>30.4</v>
      </c>
      <c r="T46">
        <v>1</v>
      </c>
      <c r="U46">
        <v>0</v>
      </c>
      <c r="V46">
        <v>4</v>
      </c>
      <c r="W46">
        <v>1</v>
      </c>
    </row>
    <row r="47" spans="1:23" x14ac:dyDescent="0.3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  <c r="H47">
        <f t="shared" si="0"/>
        <v>1</v>
      </c>
      <c r="I47">
        <f t="shared" si="1"/>
        <v>0</v>
      </c>
      <c r="J47">
        <f t="shared" si="2"/>
        <v>4</v>
      </c>
      <c r="K47">
        <f t="shared" si="3"/>
        <v>1</v>
      </c>
      <c r="L47">
        <f t="shared" si="4"/>
        <v>3.6319000000000004</v>
      </c>
      <c r="M47">
        <f t="shared" si="5"/>
        <v>-0.63190000000000035</v>
      </c>
      <c r="N47">
        <f t="shared" si="6"/>
        <v>0.39929761000000047</v>
      </c>
      <c r="R47">
        <v>2</v>
      </c>
      <c r="S47">
        <v>18.29</v>
      </c>
      <c r="T47">
        <v>1</v>
      </c>
      <c r="U47">
        <v>0</v>
      </c>
      <c r="V47">
        <v>4</v>
      </c>
      <c r="W47">
        <v>1</v>
      </c>
    </row>
    <row r="48" spans="1:23" x14ac:dyDescent="0.3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  <c r="H48">
        <f t="shared" si="0"/>
        <v>1</v>
      </c>
      <c r="I48">
        <f t="shared" si="1"/>
        <v>0</v>
      </c>
      <c r="J48">
        <f t="shared" si="2"/>
        <v>4</v>
      </c>
      <c r="K48">
        <f t="shared" si="3"/>
        <v>1</v>
      </c>
      <c r="L48">
        <f t="shared" si="4"/>
        <v>4.0652999999999997</v>
      </c>
      <c r="M48">
        <f t="shared" si="5"/>
        <v>0.93470000000000031</v>
      </c>
      <c r="N48">
        <f t="shared" si="6"/>
        <v>0.87366409000000056</v>
      </c>
      <c r="R48">
        <v>2</v>
      </c>
      <c r="S48">
        <v>22.23</v>
      </c>
      <c r="T48">
        <v>1</v>
      </c>
      <c r="U48">
        <v>0</v>
      </c>
      <c r="V48">
        <v>4</v>
      </c>
      <c r="W48">
        <v>1</v>
      </c>
    </row>
    <row r="49" spans="1:23" x14ac:dyDescent="0.3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  <c r="H49">
        <f t="shared" si="0"/>
        <v>1</v>
      </c>
      <c r="I49">
        <f t="shared" si="1"/>
        <v>0</v>
      </c>
      <c r="J49">
        <f t="shared" si="2"/>
        <v>4</v>
      </c>
      <c r="K49">
        <f t="shared" si="3"/>
        <v>1</v>
      </c>
      <c r="L49">
        <f t="shared" si="4"/>
        <v>5.5440000000000005</v>
      </c>
      <c r="M49">
        <f t="shared" si="5"/>
        <v>0.45599999999999952</v>
      </c>
      <c r="N49">
        <f t="shared" si="6"/>
        <v>0.20793599999999957</v>
      </c>
      <c r="R49">
        <v>4</v>
      </c>
      <c r="S49">
        <v>32.4</v>
      </c>
      <c r="T49">
        <v>1</v>
      </c>
      <c r="U49">
        <v>0</v>
      </c>
      <c r="V49">
        <v>4</v>
      </c>
      <c r="W49">
        <v>1</v>
      </c>
    </row>
    <row r="50" spans="1:23" x14ac:dyDescent="0.3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  <c r="H50">
        <f t="shared" si="0"/>
        <v>1</v>
      </c>
      <c r="I50">
        <f t="shared" si="1"/>
        <v>0</v>
      </c>
      <c r="J50">
        <f t="shared" si="2"/>
        <v>4</v>
      </c>
      <c r="K50">
        <f t="shared" si="3"/>
        <v>1</v>
      </c>
      <c r="L50">
        <f t="shared" si="4"/>
        <v>4.9405000000000001</v>
      </c>
      <c r="M50">
        <f t="shared" si="5"/>
        <v>-2.8905000000000003</v>
      </c>
      <c r="N50">
        <f t="shared" si="6"/>
        <v>8.354990250000002</v>
      </c>
      <c r="R50">
        <v>3</v>
      </c>
      <c r="S50">
        <v>28.55</v>
      </c>
      <c r="T50">
        <v>1</v>
      </c>
      <c r="U50">
        <v>0</v>
      </c>
      <c r="V50">
        <v>4</v>
      </c>
      <c r="W50">
        <v>1</v>
      </c>
    </row>
    <row r="51" spans="1:23" x14ac:dyDescent="0.3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  <c r="H51">
        <f t="shared" si="0"/>
        <v>1</v>
      </c>
      <c r="I51">
        <f t="shared" si="1"/>
        <v>0</v>
      </c>
      <c r="J51">
        <f t="shared" si="2"/>
        <v>4</v>
      </c>
      <c r="K51">
        <f t="shared" si="3"/>
        <v>1</v>
      </c>
      <c r="L51">
        <f t="shared" si="4"/>
        <v>3.6044000000000005</v>
      </c>
      <c r="M51">
        <f t="shared" si="5"/>
        <v>-0.60440000000000049</v>
      </c>
      <c r="N51">
        <f t="shared" si="6"/>
        <v>0.36529936000000057</v>
      </c>
      <c r="R51">
        <v>2</v>
      </c>
      <c r="S51">
        <v>18.04</v>
      </c>
      <c r="T51">
        <v>1</v>
      </c>
      <c r="U51">
        <v>0</v>
      </c>
      <c r="V51">
        <v>4</v>
      </c>
      <c r="W51">
        <v>1</v>
      </c>
    </row>
    <row r="52" spans="1:23" x14ac:dyDescent="0.3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  <c r="H52">
        <f t="shared" si="0"/>
        <v>1</v>
      </c>
      <c r="I52">
        <f t="shared" si="1"/>
        <v>0</v>
      </c>
      <c r="J52">
        <f t="shared" si="2"/>
        <v>4</v>
      </c>
      <c r="K52">
        <f t="shared" si="3"/>
        <v>1</v>
      </c>
      <c r="L52">
        <f t="shared" si="4"/>
        <v>2.9994000000000001</v>
      </c>
      <c r="M52">
        <f t="shared" si="5"/>
        <v>-0.49940000000000007</v>
      </c>
      <c r="N52">
        <f t="shared" si="6"/>
        <v>0.24940036000000007</v>
      </c>
      <c r="R52">
        <v>2</v>
      </c>
      <c r="S52">
        <v>12.54</v>
      </c>
      <c r="T52">
        <v>1</v>
      </c>
      <c r="U52">
        <v>0</v>
      </c>
      <c r="V52">
        <v>4</v>
      </c>
      <c r="W52">
        <v>1</v>
      </c>
    </row>
    <row r="53" spans="1:23" x14ac:dyDescent="0.3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  <c r="H53">
        <f t="shared" si="0"/>
        <v>0</v>
      </c>
      <c r="I53">
        <f t="shared" si="1"/>
        <v>0</v>
      </c>
      <c r="J53">
        <f t="shared" si="2"/>
        <v>4</v>
      </c>
      <c r="K53">
        <f t="shared" si="3"/>
        <v>1</v>
      </c>
      <c r="L53">
        <f t="shared" si="4"/>
        <v>2.6119000000000003</v>
      </c>
      <c r="M53">
        <f t="shared" si="5"/>
        <v>-1.1900000000000244E-2</v>
      </c>
      <c r="N53">
        <f t="shared" si="6"/>
        <v>1.4161000000000579E-4</v>
      </c>
      <c r="R53">
        <v>2</v>
      </c>
      <c r="S53">
        <v>10.29</v>
      </c>
      <c r="T53">
        <v>0</v>
      </c>
      <c r="U53">
        <v>0</v>
      </c>
      <c r="V53">
        <v>4</v>
      </c>
      <c r="W53">
        <v>1</v>
      </c>
    </row>
    <row r="54" spans="1:23" x14ac:dyDescent="0.3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  <c r="H54">
        <f t="shared" si="0"/>
        <v>0</v>
      </c>
      <c r="I54">
        <f t="shared" si="1"/>
        <v>0</v>
      </c>
      <c r="J54">
        <f t="shared" si="2"/>
        <v>4</v>
      </c>
      <c r="K54">
        <f t="shared" si="3"/>
        <v>1</v>
      </c>
      <c r="L54">
        <f t="shared" si="4"/>
        <v>5.6691000000000011</v>
      </c>
      <c r="M54">
        <f t="shared" si="5"/>
        <v>-0.46910000000000096</v>
      </c>
      <c r="N54">
        <f t="shared" si="6"/>
        <v>0.22005481000000091</v>
      </c>
      <c r="R54">
        <v>4</v>
      </c>
      <c r="S54">
        <v>34.81</v>
      </c>
      <c r="T54">
        <v>0</v>
      </c>
      <c r="U54">
        <v>0</v>
      </c>
      <c r="V54">
        <v>4</v>
      </c>
      <c r="W54">
        <v>1</v>
      </c>
    </row>
    <row r="55" spans="1:23" x14ac:dyDescent="0.3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  <c r="H55">
        <f t="shared" si="0"/>
        <v>1</v>
      </c>
      <c r="I55">
        <f t="shared" si="1"/>
        <v>0</v>
      </c>
      <c r="J55">
        <f t="shared" si="2"/>
        <v>4</v>
      </c>
      <c r="K55">
        <f t="shared" si="3"/>
        <v>1</v>
      </c>
      <c r="L55">
        <f t="shared" si="4"/>
        <v>2.7134000000000005</v>
      </c>
      <c r="M55">
        <f t="shared" si="5"/>
        <v>-1.1534000000000004</v>
      </c>
      <c r="N55">
        <f t="shared" si="6"/>
        <v>1.330331560000001</v>
      </c>
      <c r="R55">
        <v>2</v>
      </c>
      <c r="S55">
        <v>9.94</v>
      </c>
      <c r="T55">
        <v>1</v>
      </c>
      <c r="U55">
        <v>0</v>
      </c>
      <c r="V55">
        <v>4</v>
      </c>
      <c r="W55">
        <v>1</v>
      </c>
    </row>
    <row r="56" spans="1:23" x14ac:dyDescent="0.3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  <c r="H56">
        <f t="shared" si="0"/>
        <v>1</v>
      </c>
      <c r="I56">
        <f t="shared" si="1"/>
        <v>0</v>
      </c>
      <c r="J56">
        <f t="shared" si="2"/>
        <v>4</v>
      </c>
      <c r="K56">
        <f t="shared" si="3"/>
        <v>1</v>
      </c>
      <c r="L56">
        <f t="shared" si="4"/>
        <v>4.7915999999999999</v>
      </c>
      <c r="M56">
        <f t="shared" si="5"/>
        <v>-0.4516</v>
      </c>
      <c r="N56">
        <f t="shared" si="6"/>
        <v>0.20394255999999999</v>
      </c>
      <c r="R56">
        <v>4</v>
      </c>
      <c r="S56">
        <v>25.56</v>
      </c>
      <c r="T56">
        <v>1</v>
      </c>
      <c r="U56">
        <v>0</v>
      </c>
      <c r="V56">
        <v>4</v>
      </c>
      <c r="W56">
        <v>1</v>
      </c>
    </row>
    <row r="57" spans="1:23" x14ac:dyDescent="0.3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  <c r="H57">
        <f t="shared" si="0"/>
        <v>1</v>
      </c>
      <c r="I57">
        <f t="shared" si="1"/>
        <v>0</v>
      </c>
      <c r="J57">
        <f t="shared" si="2"/>
        <v>4</v>
      </c>
      <c r="K57">
        <f t="shared" si="3"/>
        <v>1</v>
      </c>
      <c r="L57">
        <f t="shared" si="4"/>
        <v>3.7639</v>
      </c>
      <c r="M57">
        <f t="shared" si="5"/>
        <v>-0.25390000000000024</v>
      </c>
      <c r="N57">
        <f t="shared" si="6"/>
        <v>6.446521000000012E-2</v>
      </c>
      <c r="R57">
        <v>2</v>
      </c>
      <c r="S57">
        <v>19.489999999999998</v>
      </c>
      <c r="T57">
        <v>1</v>
      </c>
      <c r="U57">
        <v>0</v>
      </c>
      <c r="V57">
        <v>4</v>
      </c>
      <c r="W57">
        <v>1</v>
      </c>
    </row>
    <row r="58" spans="1:23" x14ac:dyDescent="0.3">
      <c r="A58" t="s">
        <v>11</v>
      </c>
      <c r="B58" t="s">
        <v>15</v>
      </c>
      <c r="C58" t="s">
        <v>14</v>
      </c>
      <c r="D58" t="s">
        <v>10</v>
      </c>
      <c r="E58">
        <v>4</v>
      </c>
      <c r="F58">
        <v>38.01</v>
      </c>
      <c r="G58">
        <v>3</v>
      </c>
      <c r="H58">
        <f t="shared" si="0"/>
        <v>1</v>
      </c>
      <c r="I58">
        <f t="shared" si="1"/>
        <v>1</v>
      </c>
      <c r="J58">
        <f t="shared" si="2"/>
        <v>3</v>
      </c>
      <c r="K58">
        <f t="shared" si="3"/>
        <v>1</v>
      </c>
      <c r="L58">
        <f t="shared" si="4"/>
        <v>5.9310999999999989</v>
      </c>
      <c r="M58">
        <f t="shared" si="5"/>
        <v>-2.9310999999999989</v>
      </c>
      <c r="N58">
        <f t="shared" si="6"/>
        <v>8.5913472099999932</v>
      </c>
      <c r="R58">
        <v>4</v>
      </c>
      <c r="S58">
        <v>38.01</v>
      </c>
      <c r="T58">
        <v>1</v>
      </c>
      <c r="U58">
        <v>1</v>
      </c>
      <c r="V58">
        <v>3</v>
      </c>
      <c r="W58">
        <v>1</v>
      </c>
    </row>
    <row r="59" spans="1:23" x14ac:dyDescent="0.3">
      <c r="A59" t="s">
        <v>7</v>
      </c>
      <c r="B59" t="s">
        <v>8</v>
      </c>
      <c r="C59" t="s">
        <v>14</v>
      </c>
      <c r="D59" t="s">
        <v>10</v>
      </c>
      <c r="E59">
        <v>2</v>
      </c>
      <c r="F59">
        <v>26.41</v>
      </c>
      <c r="G59">
        <v>1.5</v>
      </c>
      <c r="H59">
        <f t="shared" si="0"/>
        <v>0</v>
      </c>
      <c r="I59">
        <f t="shared" si="1"/>
        <v>0</v>
      </c>
      <c r="J59">
        <f t="shared" si="2"/>
        <v>3</v>
      </c>
      <c r="K59">
        <f t="shared" si="3"/>
        <v>1</v>
      </c>
      <c r="L59">
        <f t="shared" si="4"/>
        <v>4.3551000000000002</v>
      </c>
      <c r="M59">
        <f t="shared" si="5"/>
        <v>-2.8551000000000002</v>
      </c>
      <c r="N59">
        <f t="shared" si="6"/>
        <v>8.1515960100000004</v>
      </c>
      <c r="R59">
        <v>2</v>
      </c>
      <c r="S59">
        <v>26.41</v>
      </c>
      <c r="T59">
        <v>0</v>
      </c>
      <c r="U59">
        <v>0</v>
      </c>
      <c r="V59">
        <v>3</v>
      </c>
      <c r="W59">
        <v>1</v>
      </c>
    </row>
    <row r="60" spans="1:23" x14ac:dyDescent="0.3">
      <c r="A60" t="s">
        <v>11</v>
      </c>
      <c r="B60" t="s">
        <v>15</v>
      </c>
      <c r="C60" t="s">
        <v>14</v>
      </c>
      <c r="D60" t="s">
        <v>10</v>
      </c>
      <c r="E60">
        <v>2</v>
      </c>
      <c r="F60">
        <v>11.24</v>
      </c>
      <c r="G60">
        <v>1.76</v>
      </c>
      <c r="H60">
        <f t="shared" si="0"/>
        <v>1</v>
      </c>
      <c r="I60">
        <f t="shared" si="1"/>
        <v>1</v>
      </c>
      <c r="J60">
        <f t="shared" si="2"/>
        <v>3</v>
      </c>
      <c r="K60">
        <f t="shared" si="3"/>
        <v>1</v>
      </c>
      <c r="L60">
        <f t="shared" si="4"/>
        <v>2.6263999999999998</v>
      </c>
      <c r="M60">
        <f t="shared" si="5"/>
        <v>-0.86639999999999984</v>
      </c>
      <c r="N60">
        <f t="shared" si="6"/>
        <v>0.7506489599999997</v>
      </c>
      <c r="R60">
        <v>2</v>
      </c>
      <c r="S60">
        <v>11.24</v>
      </c>
      <c r="T60">
        <v>1</v>
      </c>
      <c r="U60">
        <v>1</v>
      </c>
      <c r="V60">
        <v>3</v>
      </c>
      <c r="W60">
        <v>1</v>
      </c>
    </row>
    <row r="61" spans="1:23" x14ac:dyDescent="0.3">
      <c r="A61" t="s">
        <v>11</v>
      </c>
      <c r="B61" t="s">
        <v>8</v>
      </c>
      <c r="C61" t="s">
        <v>14</v>
      </c>
      <c r="D61" t="s">
        <v>10</v>
      </c>
      <c r="E61">
        <v>4</v>
      </c>
      <c r="F61">
        <v>48.27</v>
      </c>
      <c r="G61">
        <v>6.73</v>
      </c>
      <c r="H61">
        <f t="shared" si="0"/>
        <v>1</v>
      </c>
      <c r="I61">
        <f t="shared" si="1"/>
        <v>0</v>
      </c>
      <c r="J61">
        <f t="shared" si="2"/>
        <v>3</v>
      </c>
      <c r="K61">
        <f t="shared" si="3"/>
        <v>1</v>
      </c>
      <c r="L61">
        <f t="shared" si="4"/>
        <v>7.2596999999999996</v>
      </c>
      <c r="M61">
        <f t="shared" si="5"/>
        <v>-0.52969999999999917</v>
      </c>
      <c r="N61">
        <f t="shared" si="6"/>
        <v>0.28058208999999912</v>
      </c>
      <c r="R61">
        <v>4</v>
      </c>
      <c r="S61">
        <v>48.27</v>
      </c>
      <c r="T61">
        <v>1</v>
      </c>
      <c r="U61">
        <v>0</v>
      </c>
      <c r="V61">
        <v>3</v>
      </c>
      <c r="W61">
        <v>1</v>
      </c>
    </row>
    <row r="62" spans="1:23" x14ac:dyDescent="0.3">
      <c r="A62" t="s">
        <v>11</v>
      </c>
      <c r="B62" t="s">
        <v>15</v>
      </c>
      <c r="C62" t="s">
        <v>14</v>
      </c>
      <c r="D62" t="s">
        <v>10</v>
      </c>
      <c r="E62">
        <v>2</v>
      </c>
      <c r="F62">
        <v>20.29</v>
      </c>
      <c r="G62">
        <v>3.21</v>
      </c>
      <c r="H62">
        <f t="shared" si="0"/>
        <v>1</v>
      </c>
      <c r="I62">
        <f t="shared" si="1"/>
        <v>1</v>
      </c>
      <c r="J62">
        <f t="shared" si="2"/>
        <v>3</v>
      </c>
      <c r="K62">
        <f t="shared" si="3"/>
        <v>1</v>
      </c>
      <c r="L62">
        <f t="shared" si="4"/>
        <v>3.6218999999999997</v>
      </c>
      <c r="M62">
        <f t="shared" si="5"/>
        <v>-0.41189999999999971</v>
      </c>
      <c r="N62">
        <f t="shared" si="6"/>
        <v>0.16966160999999977</v>
      </c>
      <c r="R62">
        <v>2</v>
      </c>
      <c r="S62">
        <v>20.29</v>
      </c>
      <c r="T62">
        <v>1</v>
      </c>
      <c r="U62">
        <v>1</v>
      </c>
      <c r="V62">
        <v>3</v>
      </c>
      <c r="W62">
        <v>1</v>
      </c>
    </row>
    <row r="63" spans="1:23" x14ac:dyDescent="0.3">
      <c r="A63" t="s">
        <v>11</v>
      </c>
      <c r="B63" t="s">
        <v>15</v>
      </c>
      <c r="C63" t="s">
        <v>14</v>
      </c>
      <c r="D63" t="s">
        <v>10</v>
      </c>
      <c r="E63">
        <v>2</v>
      </c>
      <c r="F63">
        <v>13.81</v>
      </c>
      <c r="G63">
        <v>2</v>
      </c>
      <c r="H63">
        <f t="shared" si="0"/>
        <v>1</v>
      </c>
      <c r="I63">
        <f t="shared" si="1"/>
        <v>1</v>
      </c>
      <c r="J63">
        <f t="shared" si="2"/>
        <v>3</v>
      </c>
      <c r="K63">
        <f t="shared" si="3"/>
        <v>1</v>
      </c>
      <c r="L63">
        <f t="shared" si="4"/>
        <v>2.9091</v>
      </c>
      <c r="M63">
        <f t="shared" si="5"/>
        <v>-0.90910000000000002</v>
      </c>
      <c r="N63">
        <f t="shared" si="6"/>
        <v>0.82646280999999999</v>
      </c>
      <c r="R63">
        <v>2</v>
      </c>
      <c r="S63">
        <v>13.81</v>
      </c>
      <c r="T63">
        <v>1</v>
      </c>
      <c r="U63">
        <v>1</v>
      </c>
      <c r="V63">
        <v>3</v>
      </c>
      <c r="W63">
        <v>1</v>
      </c>
    </row>
    <row r="64" spans="1:23" x14ac:dyDescent="0.3">
      <c r="A64" t="s">
        <v>11</v>
      </c>
      <c r="B64" t="s">
        <v>15</v>
      </c>
      <c r="C64" t="s">
        <v>14</v>
      </c>
      <c r="D64" t="s">
        <v>10</v>
      </c>
      <c r="E64">
        <v>2</v>
      </c>
      <c r="F64">
        <v>11.02</v>
      </c>
      <c r="G64">
        <v>1.98</v>
      </c>
      <c r="H64">
        <f t="shared" si="0"/>
        <v>1</v>
      </c>
      <c r="I64">
        <f t="shared" si="1"/>
        <v>1</v>
      </c>
      <c r="J64">
        <f t="shared" si="2"/>
        <v>3</v>
      </c>
      <c r="K64">
        <f t="shared" si="3"/>
        <v>1</v>
      </c>
      <c r="L64">
        <f t="shared" si="4"/>
        <v>2.6021999999999998</v>
      </c>
      <c r="M64">
        <f t="shared" si="5"/>
        <v>-0.62219999999999986</v>
      </c>
      <c r="N64">
        <f t="shared" si="6"/>
        <v>0.38713283999999981</v>
      </c>
      <c r="R64">
        <v>2</v>
      </c>
      <c r="S64">
        <v>11.02</v>
      </c>
      <c r="T64">
        <v>1</v>
      </c>
      <c r="U64">
        <v>1</v>
      </c>
      <c r="V64">
        <v>3</v>
      </c>
      <c r="W64">
        <v>1</v>
      </c>
    </row>
    <row r="65" spans="1:23" x14ac:dyDescent="0.3">
      <c r="A65" t="s">
        <v>11</v>
      </c>
      <c r="B65" t="s">
        <v>15</v>
      </c>
      <c r="C65" t="s">
        <v>14</v>
      </c>
      <c r="D65" t="s">
        <v>10</v>
      </c>
      <c r="E65">
        <v>4</v>
      </c>
      <c r="F65">
        <v>18.29</v>
      </c>
      <c r="G65">
        <v>3.76</v>
      </c>
      <c r="H65">
        <f t="shared" si="0"/>
        <v>1</v>
      </c>
      <c r="I65">
        <f t="shared" si="1"/>
        <v>1</v>
      </c>
      <c r="J65">
        <f t="shared" si="2"/>
        <v>3</v>
      </c>
      <c r="K65">
        <f t="shared" si="3"/>
        <v>1</v>
      </c>
      <c r="L65">
        <f t="shared" si="4"/>
        <v>3.7618999999999998</v>
      </c>
      <c r="M65">
        <f t="shared" si="5"/>
        <v>-1.9000000000000128E-3</v>
      </c>
      <c r="N65">
        <f t="shared" si="6"/>
        <v>3.6100000000000484E-6</v>
      </c>
      <c r="R65">
        <v>4</v>
      </c>
      <c r="S65">
        <v>18.29</v>
      </c>
      <c r="T65">
        <v>1</v>
      </c>
      <c r="U65">
        <v>1</v>
      </c>
      <c r="V65">
        <v>3</v>
      </c>
      <c r="W65">
        <v>1</v>
      </c>
    </row>
    <row r="66" spans="1:23" x14ac:dyDescent="0.3">
      <c r="A66" t="s">
        <v>11</v>
      </c>
      <c r="B66" t="s">
        <v>8</v>
      </c>
      <c r="C66" t="s">
        <v>14</v>
      </c>
      <c r="D66" t="s">
        <v>10</v>
      </c>
      <c r="E66">
        <v>3</v>
      </c>
      <c r="F66">
        <v>17.59</v>
      </c>
      <c r="G66">
        <v>2.64</v>
      </c>
      <c r="H66">
        <f t="shared" si="0"/>
        <v>1</v>
      </c>
      <c r="I66">
        <f t="shared" si="1"/>
        <v>0</v>
      </c>
      <c r="J66">
        <f t="shared" si="2"/>
        <v>3</v>
      </c>
      <c r="K66">
        <f t="shared" si="3"/>
        <v>1</v>
      </c>
      <c r="L66">
        <f t="shared" si="4"/>
        <v>3.7048999999999999</v>
      </c>
      <c r="M66">
        <f t="shared" si="5"/>
        <v>-1.0648999999999997</v>
      </c>
      <c r="N66">
        <f t="shared" si="6"/>
        <v>1.1340120099999995</v>
      </c>
      <c r="R66">
        <v>3</v>
      </c>
      <c r="S66">
        <v>17.59</v>
      </c>
      <c r="T66">
        <v>1</v>
      </c>
      <c r="U66">
        <v>0</v>
      </c>
      <c r="V66">
        <v>3</v>
      </c>
      <c r="W66">
        <v>1</v>
      </c>
    </row>
    <row r="67" spans="1:23" x14ac:dyDescent="0.3">
      <c r="A67" t="s">
        <v>11</v>
      </c>
      <c r="B67" t="s">
        <v>8</v>
      </c>
      <c r="C67" t="s">
        <v>14</v>
      </c>
      <c r="D67" t="s">
        <v>10</v>
      </c>
      <c r="E67">
        <v>3</v>
      </c>
      <c r="F67">
        <v>20.079999999999998</v>
      </c>
      <c r="G67">
        <v>3.15</v>
      </c>
      <c r="H67">
        <f t="shared" ref="H67:H130" si="7">IF(A67="Male",1,0)</f>
        <v>1</v>
      </c>
      <c r="I67">
        <f t="shared" ref="I67:I130" si="8">IF(B67="Yes",1,0)</f>
        <v>0</v>
      </c>
      <c r="J67">
        <f t="shared" ref="J67:J130" si="9">IF(C67="Thur",1,IF(C67="Fri",2,IF(C67="Sat",3,4)))</f>
        <v>3</v>
      </c>
      <c r="K67">
        <f t="shared" ref="K67:K130" si="10">IF(D67="Dinner",1,0)</f>
        <v>1</v>
      </c>
      <c r="L67">
        <f t="shared" ref="L67:L130" si="11">0.92+(E67*0.18)+(F67*0.11)+(H67*0.14)+(I67*-0.2)+(J67*0.03)+(K67*0.08)</f>
        <v>3.9787999999999997</v>
      </c>
      <c r="M67">
        <f t="shared" ref="M67:M130" si="12">G67-L67</f>
        <v>-0.82879999999999976</v>
      </c>
      <c r="N67">
        <f t="shared" ref="N67:N130" si="13">(G67-L67)^2</f>
        <v>0.68690943999999965</v>
      </c>
      <c r="R67">
        <v>3</v>
      </c>
      <c r="S67">
        <v>20.079999999999998</v>
      </c>
      <c r="T67">
        <v>1</v>
      </c>
      <c r="U67">
        <v>0</v>
      </c>
      <c r="V67">
        <v>3</v>
      </c>
      <c r="W67">
        <v>1</v>
      </c>
    </row>
    <row r="68" spans="1:23" x14ac:dyDescent="0.3">
      <c r="A68" t="s">
        <v>7</v>
      </c>
      <c r="B68" t="s">
        <v>8</v>
      </c>
      <c r="C68" t="s">
        <v>14</v>
      </c>
      <c r="D68" t="s">
        <v>10</v>
      </c>
      <c r="E68">
        <v>2</v>
      </c>
      <c r="F68">
        <v>16.45</v>
      </c>
      <c r="G68">
        <v>2.4700000000000002</v>
      </c>
      <c r="H68">
        <f t="shared" si="7"/>
        <v>0</v>
      </c>
      <c r="I68">
        <f t="shared" si="8"/>
        <v>0</v>
      </c>
      <c r="J68">
        <f t="shared" si="9"/>
        <v>3</v>
      </c>
      <c r="K68">
        <f t="shared" si="10"/>
        <v>1</v>
      </c>
      <c r="L68">
        <f t="shared" si="11"/>
        <v>3.2595000000000001</v>
      </c>
      <c r="M68">
        <f t="shared" si="12"/>
        <v>-0.78949999999999987</v>
      </c>
      <c r="N68">
        <f t="shared" si="13"/>
        <v>0.62331024999999984</v>
      </c>
      <c r="R68">
        <v>2</v>
      </c>
      <c r="S68">
        <v>16.45</v>
      </c>
      <c r="T68">
        <v>0</v>
      </c>
      <c r="U68">
        <v>0</v>
      </c>
      <c r="V68">
        <v>3</v>
      </c>
      <c r="W68">
        <v>1</v>
      </c>
    </row>
    <row r="69" spans="1:23" x14ac:dyDescent="0.3">
      <c r="A69" t="s">
        <v>7</v>
      </c>
      <c r="B69" t="s">
        <v>15</v>
      </c>
      <c r="C69" t="s">
        <v>14</v>
      </c>
      <c r="D69" t="s">
        <v>10</v>
      </c>
      <c r="E69">
        <v>1</v>
      </c>
      <c r="F69">
        <v>3.07</v>
      </c>
      <c r="G69">
        <v>1</v>
      </c>
      <c r="H69">
        <f t="shared" si="7"/>
        <v>0</v>
      </c>
      <c r="I69">
        <f t="shared" si="8"/>
        <v>1</v>
      </c>
      <c r="J69">
        <f t="shared" si="9"/>
        <v>3</v>
      </c>
      <c r="K69">
        <f t="shared" si="10"/>
        <v>1</v>
      </c>
      <c r="L69">
        <f t="shared" si="11"/>
        <v>1.4077000000000002</v>
      </c>
      <c r="M69">
        <f t="shared" si="12"/>
        <v>-0.40770000000000017</v>
      </c>
      <c r="N69">
        <f t="shared" si="13"/>
        <v>0.16621929000000013</v>
      </c>
      <c r="R69">
        <v>1</v>
      </c>
      <c r="S69">
        <v>3.07</v>
      </c>
      <c r="T69">
        <v>0</v>
      </c>
      <c r="U69">
        <v>1</v>
      </c>
      <c r="V69">
        <v>3</v>
      </c>
      <c r="W69">
        <v>1</v>
      </c>
    </row>
    <row r="70" spans="1:23" x14ac:dyDescent="0.3">
      <c r="A70" t="s">
        <v>11</v>
      </c>
      <c r="B70" t="s">
        <v>8</v>
      </c>
      <c r="C70" t="s">
        <v>14</v>
      </c>
      <c r="D70" t="s">
        <v>10</v>
      </c>
      <c r="E70">
        <v>2</v>
      </c>
      <c r="F70">
        <v>20.23</v>
      </c>
      <c r="G70">
        <v>2.0099999999999998</v>
      </c>
      <c r="H70">
        <f t="shared" si="7"/>
        <v>1</v>
      </c>
      <c r="I70">
        <f t="shared" si="8"/>
        <v>0</v>
      </c>
      <c r="J70">
        <f t="shared" si="9"/>
        <v>3</v>
      </c>
      <c r="K70">
        <f t="shared" si="10"/>
        <v>1</v>
      </c>
      <c r="L70">
        <f t="shared" si="11"/>
        <v>3.8153000000000001</v>
      </c>
      <c r="M70">
        <f t="shared" si="12"/>
        <v>-1.8053000000000003</v>
      </c>
      <c r="N70">
        <f t="shared" si="13"/>
        <v>3.2591080900000011</v>
      </c>
      <c r="R70">
        <v>2</v>
      </c>
      <c r="S70">
        <v>20.23</v>
      </c>
      <c r="T70">
        <v>1</v>
      </c>
      <c r="U70">
        <v>0</v>
      </c>
      <c r="V70">
        <v>3</v>
      </c>
      <c r="W70">
        <v>1</v>
      </c>
    </row>
    <row r="71" spans="1:23" x14ac:dyDescent="0.3">
      <c r="A71" t="s">
        <v>11</v>
      </c>
      <c r="B71" t="s">
        <v>15</v>
      </c>
      <c r="C71" t="s">
        <v>14</v>
      </c>
      <c r="D71" t="s">
        <v>10</v>
      </c>
      <c r="E71">
        <v>2</v>
      </c>
      <c r="F71">
        <v>15.01</v>
      </c>
      <c r="G71">
        <v>2.09</v>
      </c>
      <c r="H71">
        <f t="shared" si="7"/>
        <v>1</v>
      </c>
      <c r="I71">
        <f t="shared" si="8"/>
        <v>1</v>
      </c>
      <c r="J71">
        <f t="shared" si="9"/>
        <v>3</v>
      </c>
      <c r="K71">
        <f t="shared" si="10"/>
        <v>1</v>
      </c>
      <c r="L71">
        <f t="shared" si="11"/>
        <v>3.0410999999999997</v>
      </c>
      <c r="M71">
        <f t="shared" si="12"/>
        <v>-0.95109999999999983</v>
      </c>
      <c r="N71">
        <f t="shared" si="13"/>
        <v>0.90459120999999965</v>
      </c>
      <c r="R71">
        <v>2</v>
      </c>
      <c r="S71">
        <v>15.01</v>
      </c>
      <c r="T71">
        <v>1</v>
      </c>
      <c r="U71">
        <v>1</v>
      </c>
      <c r="V71">
        <v>3</v>
      </c>
      <c r="W71">
        <v>1</v>
      </c>
    </row>
    <row r="72" spans="1:23" x14ac:dyDescent="0.3">
      <c r="A72" t="s">
        <v>11</v>
      </c>
      <c r="B72" t="s">
        <v>8</v>
      </c>
      <c r="C72" t="s">
        <v>14</v>
      </c>
      <c r="D72" t="s">
        <v>10</v>
      </c>
      <c r="E72">
        <v>2</v>
      </c>
      <c r="F72">
        <v>12.02</v>
      </c>
      <c r="G72">
        <v>1.97</v>
      </c>
      <c r="H72">
        <f t="shared" si="7"/>
        <v>1</v>
      </c>
      <c r="I72">
        <f t="shared" si="8"/>
        <v>0</v>
      </c>
      <c r="J72">
        <f t="shared" si="9"/>
        <v>3</v>
      </c>
      <c r="K72">
        <f t="shared" si="10"/>
        <v>1</v>
      </c>
      <c r="L72">
        <f t="shared" si="11"/>
        <v>2.9121999999999999</v>
      </c>
      <c r="M72">
        <f t="shared" si="12"/>
        <v>-0.94219999999999993</v>
      </c>
      <c r="N72">
        <f t="shared" si="13"/>
        <v>0.88774083999999986</v>
      </c>
      <c r="R72">
        <v>2</v>
      </c>
      <c r="S72">
        <v>12.02</v>
      </c>
      <c r="T72">
        <v>1</v>
      </c>
      <c r="U72">
        <v>0</v>
      </c>
      <c r="V72">
        <v>3</v>
      </c>
      <c r="W72">
        <v>1</v>
      </c>
    </row>
    <row r="73" spans="1:23" x14ac:dyDescent="0.3">
      <c r="A73" t="s">
        <v>7</v>
      </c>
      <c r="B73" t="s">
        <v>8</v>
      </c>
      <c r="C73" t="s">
        <v>14</v>
      </c>
      <c r="D73" t="s">
        <v>10</v>
      </c>
      <c r="E73">
        <v>3</v>
      </c>
      <c r="F73">
        <v>17.07</v>
      </c>
      <c r="G73">
        <v>3</v>
      </c>
      <c r="H73">
        <f t="shared" si="7"/>
        <v>0</v>
      </c>
      <c r="I73">
        <f t="shared" si="8"/>
        <v>0</v>
      </c>
      <c r="J73">
        <f t="shared" si="9"/>
        <v>3</v>
      </c>
      <c r="K73">
        <f t="shared" si="10"/>
        <v>1</v>
      </c>
      <c r="L73">
        <f t="shared" si="11"/>
        <v>3.5076999999999998</v>
      </c>
      <c r="M73">
        <f t="shared" si="12"/>
        <v>-0.50769999999999982</v>
      </c>
      <c r="N73">
        <f t="shared" si="13"/>
        <v>0.25775928999999981</v>
      </c>
      <c r="R73">
        <v>3</v>
      </c>
      <c r="S73">
        <v>17.07</v>
      </c>
      <c r="T73">
        <v>0</v>
      </c>
      <c r="U73">
        <v>0</v>
      </c>
      <c r="V73">
        <v>3</v>
      </c>
      <c r="W73">
        <v>1</v>
      </c>
    </row>
    <row r="74" spans="1:23" x14ac:dyDescent="0.3">
      <c r="A74" t="s">
        <v>7</v>
      </c>
      <c r="B74" t="s">
        <v>15</v>
      </c>
      <c r="C74" t="s">
        <v>14</v>
      </c>
      <c r="D74" t="s">
        <v>10</v>
      </c>
      <c r="E74">
        <v>2</v>
      </c>
      <c r="F74">
        <v>26.86</v>
      </c>
      <c r="G74">
        <v>3.14</v>
      </c>
      <c r="H74">
        <f t="shared" si="7"/>
        <v>0</v>
      </c>
      <c r="I74">
        <f t="shared" si="8"/>
        <v>1</v>
      </c>
      <c r="J74">
        <f t="shared" si="9"/>
        <v>3</v>
      </c>
      <c r="K74">
        <f t="shared" si="10"/>
        <v>1</v>
      </c>
      <c r="L74">
        <f t="shared" si="11"/>
        <v>4.2046000000000001</v>
      </c>
      <c r="M74">
        <f t="shared" si="12"/>
        <v>-1.0646</v>
      </c>
      <c r="N74">
        <f t="shared" si="13"/>
        <v>1.1333731599999999</v>
      </c>
      <c r="R74">
        <v>2</v>
      </c>
      <c r="S74">
        <v>26.86</v>
      </c>
      <c r="T74">
        <v>0</v>
      </c>
      <c r="U74">
        <v>1</v>
      </c>
      <c r="V74">
        <v>3</v>
      </c>
      <c r="W74">
        <v>1</v>
      </c>
    </row>
    <row r="75" spans="1:23" x14ac:dyDescent="0.3">
      <c r="A75" t="s">
        <v>7</v>
      </c>
      <c r="B75" t="s">
        <v>15</v>
      </c>
      <c r="C75" t="s">
        <v>14</v>
      </c>
      <c r="D75" t="s">
        <v>10</v>
      </c>
      <c r="E75">
        <v>2</v>
      </c>
      <c r="F75">
        <v>25.28</v>
      </c>
      <c r="G75">
        <v>5</v>
      </c>
      <c r="H75">
        <f t="shared" si="7"/>
        <v>0</v>
      </c>
      <c r="I75">
        <f t="shared" si="8"/>
        <v>1</v>
      </c>
      <c r="J75">
        <f t="shared" si="9"/>
        <v>3</v>
      </c>
      <c r="K75">
        <f t="shared" si="10"/>
        <v>1</v>
      </c>
      <c r="L75">
        <f t="shared" si="11"/>
        <v>4.0308000000000002</v>
      </c>
      <c r="M75">
        <f t="shared" si="12"/>
        <v>0.96919999999999984</v>
      </c>
      <c r="N75">
        <f t="shared" si="13"/>
        <v>0.93934863999999973</v>
      </c>
      <c r="R75">
        <v>2</v>
      </c>
      <c r="S75">
        <v>25.28</v>
      </c>
      <c r="T75">
        <v>0</v>
      </c>
      <c r="U75">
        <v>1</v>
      </c>
      <c r="V75">
        <v>3</v>
      </c>
      <c r="W75">
        <v>1</v>
      </c>
    </row>
    <row r="76" spans="1:23" x14ac:dyDescent="0.3">
      <c r="A76" t="s">
        <v>7</v>
      </c>
      <c r="B76" t="s">
        <v>8</v>
      </c>
      <c r="C76" t="s">
        <v>14</v>
      </c>
      <c r="D76" t="s">
        <v>10</v>
      </c>
      <c r="E76">
        <v>2</v>
      </c>
      <c r="F76">
        <v>14.73</v>
      </c>
      <c r="G76">
        <v>2.2000000000000002</v>
      </c>
      <c r="H76">
        <f t="shared" si="7"/>
        <v>0</v>
      </c>
      <c r="I76">
        <f t="shared" si="8"/>
        <v>0</v>
      </c>
      <c r="J76">
        <f t="shared" si="9"/>
        <v>3</v>
      </c>
      <c r="K76">
        <f t="shared" si="10"/>
        <v>1</v>
      </c>
      <c r="L76">
        <f t="shared" si="11"/>
        <v>3.0703</v>
      </c>
      <c r="M76">
        <f t="shared" si="12"/>
        <v>-0.87029999999999985</v>
      </c>
      <c r="N76">
        <f t="shared" si="13"/>
        <v>0.75742208999999971</v>
      </c>
      <c r="R76">
        <v>2</v>
      </c>
      <c r="S76">
        <v>14.73</v>
      </c>
      <c r="T76">
        <v>0</v>
      </c>
      <c r="U76">
        <v>0</v>
      </c>
      <c r="V76">
        <v>3</v>
      </c>
      <c r="W76">
        <v>1</v>
      </c>
    </row>
    <row r="77" spans="1:23" x14ac:dyDescent="0.3">
      <c r="A77" t="s">
        <v>11</v>
      </c>
      <c r="B77" t="s">
        <v>8</v>
      </c>
      <c r="C77" t="s">
        <v>14</v>
      </c>
      <c r="D77" t="s">
        <v>10</v>
      </c>
      <c r="E77">
        <v>2</v>
      </c>
      <c r="F77">
        <v>10.51</v>
      </c>
      <c r="G77">
        <v>1.25</v>
      </c>
      <c r="H77">
        <f t="shared" si="7"/>
        <v>1</v>
      </c>
      <c r="I77">
        <f t="shared" si="8"/>
        <v>0</v>
      </c>
      <c r="J77">
        <f t="shared" si="9"/>
        <v>3</v>
      </c>
      <c r="K77">
        <f t="shared" si="10"/>
        <v>1</v>
      </c>
      <c r="L77">
        <f t="shared" si="11"/>
        <v>2.7460999999999998</v>
      </c>
      <c r="M77">
        <f t="shared" si="12"/>
        <v>-1.4960999999999998</v>
      </c>
      <c r="N77">
        <f t="shared" si="13"/>
        <v>2.2383152099999992</v>
      </c>
      <c r="R77">
        <v>2</v>
      </c>
      <c r="S77">
        <v>10.51</v>
      </c>
      <c r="T77">
        <v>1</v>
      </c>
      <c r="U77">
        <v>0</v>
      </c>
      <c r="V77">
        <v>3</v>
      </c>
      <c r="W77">
        <v>1</v>
      </c>
    </row>
    <row r="78" spans="1:23" x14ac:dyDescent="0.3">
      <c r="A78" t="s">
        <v>11</v>
      </c>
      <c r="B78" t="s">
        <v>15</v>
      </c>
      <c r="C78" t="s">
        <v>14</v>
      </c>
      <c r="D78" t="s">
        <v>10</v>
      </c>
      <c r="E78">
        <v>2</v>
      </c>
      <c r="F78">
        <v>17.920000000000002</v>
      </c>
      <c r="G78">
        <v>3.08</v>
      </c>
      <c r="H78">
        <f t="shared" si="7"/>
        <v>1</v>
      </c>
      <c r="I78">
        <f t="shared" si="8"/>
        <v>1</v>
      </c>
      <c r="J78">
        <f t="shared" si="9"/>
        <v>3</v>
      </c>
      <c r="K78">
        <f t="shared" si="10"/>
        <v>1</v>
      </c>
      <c r="L78">
        <f t="shared" si="11"/>
        <v>3.3612000000000002</v>
      </c>
      <c r="M78">
        <f t="shared" si="12"/>
        <v>-0.28120000000000012</v>
      </c>
      <c r="N78">
        <f t="shared" si="13"/>
        <v>7.9073440000000064E-2</v>
      </c>
      <c r="R78">
        <v>2</v>
      </c>
      <c r="S78">
        <v>17.920000000000002</v>
      </c>
      <c r="T78">
        <v>1</v>
      </c>
      <c r="U78">
        <v>1</v>
      </c>
      <c r="V78">
        <v>3</v>
      </c>
      <c r="W78">
        <v>1</v>
      </c>
    </row>
    <row r="79" spans="1:23" x14ac:dyDescent="0.3">
      <c r="A79" t="s">
        <v>11</v>
      </c>
      <c r="B79" t="s">
        <v>8</v>
      </c>
      <c r="C79" t="s">
        <v>16</v>
      </c>
      <c r="D79" t="s">
        <v>17</v>
      </c>
      <c r="E79">
        <v>4</v>
      </c>
      <c r="F79">
        <v>27.2</v>
      </c>
      <c r="G79">
        <v>4</v>
      </c>
      <c r="H79">
        <f t="shared" si="7"/>
        <v>1</v>
      </c>
      <c r="I79">
        <f t="shared" si="8"/>
        <v>0</v>
      </c>
      <c r="J79">
        <f t="shared" si="9"/>
        <v>1</v>
      </c>
      <c r="K79">
        <f t="shared" si="10"/>
        <v>0</v>
      </c>
      <c r="L79">
        <f t="shared" si="11"/>
        <v>4.8019999999999996</v>
      </c>
      <c r="M79">
        <f t="shared" si="12"/>
        <v>-0.8019999999999996</v>
      </c>
      <c r="N79">
        <f t="shared" si="13"/>
        <v>0.64320399999999933</v>
      </c>
      <c r="R79">
        <v>4</v>
      </c>
      <c r="S79">
        <v>27.2</v>
      </c>
      <c r="T79">
        <v>1</v>
      </c>
      <c r="U79">
        <v>0</v>
      </c>
      <c r="V79">
        <v>1</v>
      </c>
      <c r="W79">
        <v>0</v>
      </c>
    </row>
    <row r="80" spans="1:23" x14ac:dyDescent="0.3">
      <c r="A80" t="s">
        <v>11</v>
      </c>
      <c r="B80" t="s">
        <v>8</v>
      </c>
      <c r="C80" t="s">
        <v>16</v>
      </c>
      <c r="D80" t="s">
        <v>17</v>
      </c>
      <c r="E80">
        <v>2</v>
      </c>
      <c r="F80">
        <v>22.76</v>
      </c>
      <c r="G80">
        <v>3</v>
      </c>
      <c r="H80">
        <f t="shared" si="7"/>
        <v>1</v>
      </c>
      <c r="I80">
        <f t="shared" si="8"/>
        <v>0</v>
      </c>
      <c r="J80">
        <f t="shared" si="9"/>
        <v>1</v>
      </c>
      <c r="K80">
        <f t="shared" si="10"/>
        <v>0</v>
      </c>
      <c r="L80">
        <f t="shared" si="11"/>
        <v>3.9535999999999998</v>
      </c>
      <c r="M80">
        <f t="shared" si="12"/>
        <v>-0.95359999999999978</v>
      </c>
      <c r="N80">
        <f t="shared" si="13"/>
        <v>0.90935295999999954</v>
      </c>
      <c r="R80">
        <v>2</v>
      </c>
      <c r="S80">
        <v>22.76</v>
      </c>
      <c r="T80">
        <v>1</v>
      </c>
      <c r="U80">
        <v>0</v>
      </c>
      <c r="V80">
        <v>1</v>
      </c>
      <c r="W80">
        <v>0</v>
      </c>
    </row>
    <row r="81" spans="1:23" x14ac:dyDescent="0.3">
      <c r="A81" t="s">
        <v>11</v>
      </c>
      <c r="B81" t="s">
        <v>8</v>
      </c>
      <c r="C81" t="s">
        <v>16</v>
      </c>
      <c r="D81" t="s">
        <v>17</v>
      </c>
      <c r="E81">
        <v>2</v>
      </c>
      <c r="F81">
        <v>17.29</v>
      </c>
      <c r="G81">
        <v>2.71</v>
      </c>
      <c r="H81">
        <f t="shared" si="7"/>
        <v>1</v>
      </c>
      <c r="I81">
        <f t="shared" si="8"/>
        <v>0</v>
      </c>
      <c r="J81">
        <f t="shared" si="9"/>
        <v>1</v>
      </c>
      <c r="K81">
        <f t="shared" si="10"/>
        <v>0</v>
      </c>
      <c r="L81">
        <f t="shared" si="11"/>
        <v>3.3518999999999997</v>
      </c>
      <c r="M81">
        <f t="shared" si="12"/>
        <v>-0.64189999999999969</v>
      </c>
      <c r="N81">
        <f t="shared" si="13"/>
        <v>0.41203560999999961</v>
      </c>
      <c r="R81">
        <v>2</v>
      </c>
      <c r="S81">
        <v>17.29</v>
      </c>
      <c r="T81">
        <v>1</v>
      </c>
      <c r="U81">
        <v>0</v>
      </c>
      <c r="V81">
        <v>1</v>
      </c>
      <c r="W81">
        <v>0</v>
      </c>
    </row>
    <row r="82" spans="1:23" x14ac:dyDescent="0.3">
      <c r="A82" t="s">
        <v>11</v>
      </c>
      <c r="B82" t="s">
        <v>15</v>
      </c>
      <c r="C82" t="s">
        <v>16</v>
      </c>
      <c r="D82" t="s">
        <v>17</v>
      </c>
      <c r="E82">
        <v>2</v>
      </c>
      <c r="F82">
        <v>19.440000000000001</v>
      </c>
      <c r="G82">
        <v>3</v>
      </c>
      <c r="H82">
        <f t="shared" si="7"/>
        <v>1</v>
      </c>
      <c r="I82">
        <f t="shared" si="8"/>
        <v>1</v>
      </c>
      <c r="J82">
        <f t="shared" si="9"/>
        <v>1</v>
      </c>
      <c r="K82">
        <f t="shared" si="10"/>
        <v>0</v>
      </c>
      <c r="L82">
        <f t="shared" si="11"/>
        <v>3.3883999999999999</v>
      </c>
      <c r="M82">
        <f t="shared" si="12"/>
        <v>-0.38839999999999986</v>
      </c>
      <c r="N82">
        <f t="shared" si="13"/>
        <v>0.15085455999999989</v>
      </c>
      <c r="R82">
        <v>2</v>
      </c>
      <c r="S82">
        <v>19.440000000000001</v>
      </c>
      <c r="T82">
        <v>1</v>
      </c>
      <c r="U82">
        <v>1</v>
      </c>
      <c r="V82">
        <v>1</v>
      </c>
      <c r="W82">
        <v>0</v>
      </c>
    </row>
    <row r="83" spans="1:23" x14ac:dyDescent="0.3">
      <c r="A83" t="s">
        <v>11</v>
      </c>
      <c r="B83" t="s">
        <v>8</v>
      </c>
      <c r="C83" t="s">
        <v>16</v>
      </c>
      <c r="D83" t="s">
        <v>17</v>
      </c>
      <c r="E83">
        <v>2</v>
      </c>
      <c r="F83">
        <v>16.66</v>
      </c>
      <c r="G83">
        <v>3.4</v>
      </c>
      <c r="H83">
        <f t="shared" si="7"/>
        <v>1</v>
      </c>
      <c r="I83">
        <f t="shared" si="8"/>
        <v>0</v>
      </c>
      <c r="J83">
        <f t="shared" si="9"/>
        <v>1</v>
      </c>
      <c r="K83">
        <f t="shared" si="10"/>
        <v>0</v>
      </c>
      <c r="L83">
        <f t="shared" si="11"/>
        <v>3.2826</v>
      </c>
      <c r="M83">
        <f t="shared" si="12"/>
        <v>0.11739999999999995</v>
      </c>
      <c r="N83">
        <f t="shared" si="13"/>
        <v>1.3782759999999988E-2</v>
      </c>
      <c r="R83">
        <v>2</v>
      </c>
      <c r="S83">
        <v>16.66</v>
      </c>
      <c r="T83">
        <v>1</v>
      </c>
      <c r="U83">
        <v>0</v>
      </c>
      <c r="V83">
        <v>1</v>
      </c>
      <c r="W83">
        <v>0</v>
      </c>
    </row>
    <row r="84" spans="1:23" x14ac:dyDescent="0.3">
      <c r="A84" t="s">
        <v>7</v>
      </c>
      <c r="B84" t="s">
        <v>8</v>
      </c>
      <c r="C84" t="s">
        <v>16</v>
      </c>
      <c r="D84" t="s">
        <v>17</v>
      </c>
      <c r="E84">
        <v>1</v>
      </c>
      <c r="F84">
        <v>10.07</v>
      </c>
      <c r="G84">
        <v>1.83</v>
      </c>
      <c r="H84">
        <f t="shared" si="7"/>
        <v>0</v>
      </c>
      <c r="I84">
        <f t="shared" si="8"/>
        <v>0</v>
      </c>
      <c r="J84">
        <f t="shared" si="9"/>
        <v>1</v>
      </c>
      <c r="K84">
        <f t="shared" si="10"/>
        <v>0</v>
      </c>
      <c r="L84">
        <f t="shared" si="11"/>
        <v>2.2376999999999998</v>
      </c>
      <c r="M84">
        <f t="shared" si="12"/>
        <v>-0.40769999999999973</v>
      </c>
      <c r="N84">
        <f t="shared" si="13"/>
        <v>0.16621928999999977</v>
      </c>
      <c r="R84">
        <v>1</v>
      </c>
      <c r="S84">
        <v>10.07</v>
      </c>
      <c r="T84">
        <v>0</v>
      </c>
      <c r="U84">
        <v>0</v>
      </c>
      <c r="V84">
        <v>1</v>
      </c>
      <c r="W84">
        <v>0</v>
      </c>
    </row>
    <row r="85" spans="1:23" x14ac:dyDescent="0.3">
      <c r="A85" t="s">
        <v>11</v>
      </c>
      <c r="B85" t="s">
        <v>15</v>
      </c>
      <c r="C85" t="s">
        <v>16</v>
      </c>
      <c r="D85" t="s">
        <v>17</v>
      </c>
      <c r="E85">
        <v>2</v>
      </c>
      <c r="F85">
        <v>32.68</v>
      </c>
      <c r="G85">
        <v>5</v>
      </c>
      <c r="H85">
        <f t="shared" si="7"/>
        <v>1</v>
      </c>
      <c r="I85">
        <f t="shared" si="8"/>
        <v>1</v>
      </c>
      <c r="J85">
        <f t="shared" si="9"/>
        <v>1</v>
      </c>
      <c r="K85">
        <f t="shared" si="10"/>
        <v>0</v>
      </c>
      <c r="L85">
        <f t="shared" si="11"/>
        <v>4.8447999999999993</v>
      </c>
      <c r="M85">
        <f t="shared" si="12"/>
        <v>0.15520000000000067</v>
      </c>
      <c r="N85">
        <f t="shared" si="13"/>
        <v>2.4087040000000209E-2</v>
      </c>
      <c r="R85">
        <v>2</v>
      </c>
      <c r="S85">
        <v>32.68</v>
      </c>
      <c r="T85">
        <v>1</v>
      </c>
      <c r="U85">
        <v>1</v>
      </c>
      <c r="V85">
        <v>1</v>
      </c>
      <c r="W85">
        <v>0</v>
      </c>
    </row>
    <row r="86" spans="1:23" x14ac:dyDescent="0.3">
      <c r="A86" t="s">
        <v>11</v>
      </c>
      <c r="B86" t="s">
        <v>8</v>
      </c>
      <c r="C86" t="s">
        <v>16</v>
      </c>
      <c r="D86" t="s">
        <v>17</v>
      </c>
      <c r="E86">
        <v>2</v>
      </c>
      <c r="F86">
        <v>15.98</v>
      </c>
      <c r="G86">
        <v>2.0299999999999998</v>
      </c>
      <c r="H86">
        <f t="shared" si="7"/>
        <v>1</v>
      </c>
      <c r="I86">
        <f t="shared" si="8"/>
        <v>0</v>
      </c>
      <c r="J86">
        <f t="shared" si="9"/>
        <v>1</v>
      </c>
      <c r="K86">
        <f t="shared" si="10"/>
        <v>0</v>
      </c>
      <c r="L86">
        <f t="shared" si="11"/>
        <v>3.2077999999999998</v>
      </c>
      <c r="M86">
        <f t="shared" si="12"/>
        <v>-1.1778</v>
      </c>
      <c r="N86">
        <f t="shared" si="13"/>
        <v>1.3872128399999999</v>
      </c>
      <c r="R86">
        <v>2</v>
      </c>
      <c r="S86">
        <v>15.98</v>
      </c>
      <c r="T86">
        <v>1</v>
      </c>
      <c r="U86">
        <v>0</v>
      </c>
      <c r="V86">
        <v>1</v>
      </c>
      <c r="W86">
        <v>0</v>
      </c>
    </row>
    <row r="87" spans="1:23" x14ac:dyDescent="0.3">
      <c r="A87" t="s">
        <v>7</v>
      </c>
      <c r="B87" t="s">
        <v>8</v>
      </c>
      <c r="C87" t="s">
        <v>16</v>
      </c>
      <c r="D87" t="s">
        <v>17</v>
      </c>
      <c r="E87">
        <v>4</v>
      </c>
      <c r="F87">
        <v>34.83</v>
      </c>
      <c r="G87">
        <v>5.17</v>
      </c>
      <c r="H87">
        <f t="shared" si="7"/>
        <v>0</v>
      </c>
      <c r="I87">
        <f t="shared" si="8"/>
        <v>0</v>
      </c>
      <c r="J87">
        <f t="shared" si="9"/>
        <v>1</v>
      </c>
      <c r="K87">
        <f t="shared" si="10"/>
        <v>0</v>
      </c>
      <c r="L87">
        <f t="shared" si="11"/>
        <v>5.5012999999999996</v>
      </c>
      <c r="M87">
        <f t="shared" si="12"/>
        <v>-0.33129999999999971</v>
      </c>
      <c r="N87">
        <f t="shared" si="13"/>
        <v>0.1097596899999998</v>
      </c>
      <c r="R87">
        <v>4</v>
      </c>
      <c r="S87">
        <v>34.83</v>
      </c>
      <c r="T87">
        <v>0</v>
      </c>
      <c r="U87">
        <v>0</v>
      </c>
      <c r="V87">
        <v>1</v>
      </c>
      <c r="W87">
        <v>0</v>
      </c>
    </row>
    <row r="88" spans="1:23" x14ac:dyDescent="0.3">
      <c r="A88" t="s">
        <v>11</v>
      </c>
      <c r="B88" t="s">
        <v>8</v>
      </c>
      <c r="C88" t="s">
        <v>16</v>
      </c>
      <c r="D88" t="s">
        <v>17</v>
      </c>
      <c r="E88">
        <v>2</v>
      </c>
      <c r="F88">
        <v>13.03</v>
      </c>
      <c r="G88">
        <v>2</v>
      </c>
      <c r="H88">
        <f t="shared" si="7"/>
        <v>1</v>
      </c>
      <c r="I88">
        <f t="shared" si="8"/>
        <v>0</v>
      </c>
      <c r="J88">
        <f t="shared" si="9"/>
        <v>1</v>
      </c>
      <c r="K88">
        <f t="shared" si="10"/>
        <v>0</v>
      </c>
      <c r="L88">
        <f t="shared" si="11"/>
        <v>2.8833000000000002</v>
      </c>
      <c r="M88">
        <f t="shared" si="12"/>
        <v>-0.8833000000000002</v>
      </c>
      <c r="N88">
        <f t="shared" si="13"/>
        <v>0.78021889000000033</v>
      </c>
      <c r="R88">
        <v>2</v>
      </c>
      <c r="S88">
        <v>13.03</v>
      </c>
      <c r="T88">
        <v>1</v>
      </c>
      <c r="U88">
        <v>0</v>
      </c>
      <c r="V88">
        <v>1</v>
      </c>
      <c r="W88">
        <v>0</v>
      </c>
    </row>
    <row r="89" spans="1:23" x14ac:dyDescent="0.3">
      <c r="A89" t="s">
        <v>11</v>
      </c>
      <c r="B89" t="s">
        <v>8</v>
      </c>
      <c r="C89" t="s">
        <v>16</v>
      </c>
      <c r="D89" t="s">
        <v>17</v>
      </c>
      <c r="E89">
        <v>2</v>
      </c>
      <c r="F89">
        <v>18.28</v>
      </c>
      <c r="G89">
        <v>4</v>
      </c>
      <c r="H89">
        <f t="shared" si="7"/>
        <v>1</v>
      </c>
      <c r="I89">
        <f t="shared" si="8"/>
        <v>0</v>
      </c>
      <c r="J89">
        <f t="shared" si="9"/>
        <v>1</v>
      </c>
      <c r="K89">
        <f t="shared" si="10"/>
        <v>0</v>
      </c>
      <c r="L89">
        <f t="shared" si="11"/>
        <v>3.4607999999999999</v>
      </c>
      <c r="M89">
        <f t="shared" si="12"/>
        <v>0.53920000000000012</v>
      </c>
      <c r="N89">
        <f t="shared" si="13"/>
        <v>0.29073664000000016</v>
      </c>
      <c r="R89">
        <v>2</v>
      </c>
      <c r="S89">
        <v>18.28</v>
      </c>
      <c r="T89">
        <v>1</v>
      </c>
      <c r="U89">
        <v>0</v>
      </c>
      <c r="V89">
        <v>1</v>
      </c>
      <c r="W89">
        <v>0</v>
      </c>
    </row>
    <row r="90" spans="1:23" x14ac:dyDescent="0.3">
      <c r="A90" t="s">
        <v>11</v>
      </c>
      <c r="B90" t="s">
        <v>8</v>
      </c>
      <c r="C90" t="s">
        <v>16</v>
      </c>
      <c r="D90" t="s">
        <v>17</v>
      </c>
      <c r="E90">
        <v>2</v>
      </c>
      <c r="F90">
        <v>24.71</v>
      </c>
      <c r="G90">
        <v>5.85</v>
      </c>
      <c r="H90">
        <f t="shared" si="7"/>
        <v>1</v>
      </c>
      <c r="I90">
        <f t="shared" si="8"/>
        <v>0</v>
      </c>
      <c r="J90">
        <f t="shared" si="9"/>
        <v>1</v>
      </c>
      <c r="K90">
        <f t="shared" si="10"/>
        <v>0</v>
      </c>
      <c r="L90">
        <f t="shared" si="11"/>
        <v>4.1680999999999999</v>
      </c>
      <c r="M90">
        <f t="shared" si="12"/>
        <v>1.6818999999999997</v>
      </c>
      <c r="N90">
        <f t="shared" si="13"/>
        <v>2.8287876099999991</v>
      </c>
      <c r="R90">
        <v>2</v>
      </c>
      <c r="S90">
        <v>24.71</v>
      </c>
      <c r="T90">
        <v>1</v>
      </c>
      <c r="U90">
        <v>0</v>
      </c>
      <c r="V90">
        <v>1</v>
      </c>
      <c r="W90">
        <v>0</v>
      </c>
    </row>
    <row r="91" spans="1:23" x14ac:dyDescent="0.3">
      <c r="A91" t="s">
        <v>11</v>
      </c>
      <c r="B91" t="s">
        <v>8</v>
      </c>
      <c r="C91" t="s">
        <v>16</v>
      </c>
      <c r="D91" t="s">
        <v>17</v>
      </c>
      <c r="E91">
        <v>2</v>
      </c>
      <c r="F91">
        <v>21.16</v>
      </c>
      <c r="G91">
        <v>3</v>
      </c>
      <c r="H91">
        <f t="shared" si="7"/>
        <v>1</v>
      </c>
      <c r="I91">
        <f t="shared" si="8"/>
        <v>0</v>
      </c>
      <c r="J91">
        <f t="shared" si="9"/>
        <v>1</v>
      </c>
      <c r="K91">
        <f t="shared" si="10"/>
        <v>0</v>
      </c>
      <c r="L91">
        <f t="shared" si="11"/>
        <v>3.7775999999999996</v>
      </c>
      <c r="M91">
        <f t="shared" si="12"/>
        <v>-0.77759999999999962</v>
      </c>
      <c r="N91">
        <f t="shared" si="13"/>
        <v>0.60466175999999938</v>
      </c>
      <c r="R91">
        <v>2</v>
      </c>
      <c r="S91">
        <v>21.16</v>
      </c>
      <c r="T91">
        <v>1</v>
      </c>
      <c r="U91">
        <v>0</v>
      </c>
      <c r="V91">
        <v>1</v>
      </c>
      <c r="W91">
        <v>0</v>
      </c>
    </row>
    <row r="92" spans="1:23" x14ac:dyDescent="0.3">
      <c r="A92" t="s">
        <v>11</v>
      </c>
      <c r="B92" t="s">
        <v>15</v>
      </c>
      <c r="C92" t="s">
        <v>18</v>
      </c>
      <c r="D92" t="s">
        <v>10</v>
      </c>
      <c r="E92">
        <v>2</v>
      </c>
      <c r="F92">
        <v>28.97</v>
      </c>
      <c r="G92">
        <v>3</v>
      </c>
      <c r="H92">
        <f t="shared" si="7"/>
        <v>1</v>
      </c>
      <c r="I92">
        <f t="shared" si="8"/>
        <v>1</v>
      </c>
      <c r="J92">
        <f t="shared" si="9"/>
        <v>2</v>
      </c>
      <c r="K92">
        <f t="shared" si="10"/>
        <v>1</v>
      </c>
      <c r="L92">
        <f t="shared" si="11"/>
        <v>4.5466999999999995</v>
      </c>
      <c r="M92">
        <f t="shared" si="12"/>
        <v>-1.5466999999999995</v>
      </c>
      <c r="N92">
        <f t="shared" si="13"/>
        <v>2.3922808899999985</v>
      </c>
      <c r="R92">
        <v>2</v>
      </c>
      <c r="S92">
        <v>28.97</v>
      </c>
      <c r="T92">
        <v>1</v>
      </c>
      <c r="U92">
        <v>1</v>
      </c>
      <c r="V92">
        <v>2</v>
      </c>
      <c r="W92">
        <v>1</v>
      </c>
    </row>
    <row r="93" spans="1:23" x14ac:dyDescent="0.3">
      <c r="A93" t="s">
        <v>11</v>
      </c>
      <c r="B93" t="s">
        <v>8</v>
      </c>
      <c r="C93" t="s">
        <v>18</v>
      </c>
      <c r="D93" t="s">
        <v>10</v>
      </c>
      <c r="E93">
        <v>2</v>
      </c>
      <c r="F93">
        <v>22.49</v>
      </c>
      <c r="G93">
        <v>3.5</v>
      </c>
      <c r="H93">
        <f t="shared" si="7"/>
        <v>1</v>
      </c>
      <c r="I93">
        <f t="shared" si="8"/>
        <v>0</v>
      </c>
      <c r="J93">
        <f t="shared" si="9"/>
        <v>2</v>
      </c>
      <c r="K93">
        <f t="shared" si="10"/>
        <v>1</v>
      </c>
      <c r="L93">
        <f t="shared" si="11"/>
        <v>4.0339</v>
      </c>
      <c r="M93">
        <f t="shared" si="12"/>
        <v>-0.53390000000000004</v>
      </c>
      <c r="N93">
        <f t="shared" si="13"/>
        <v>0.28504921000000005</v>
      </c>
      <c r="R93">
        <v>2</v>
      </c>
      <c r="S93">
        <v>22.49</v>
      </c>
      <c r="T93">
        <v>1</v>
      </c>
      <c r="U93">
        <v>0</v>
      </c>
      <c r="V93">
        <v>2</v>
      </c>
      <c r="W93">
        <v>1</v>
      </c>
    </row>
    <row r="94" spans="1:23" x14ac:dyDescent="0.3">
      <c r="A94" t="s">
        <v>7</v>
      </c>
      <c r="B94" t="s">
        <v>15</v>
      </c>
      <c r="C94" t="s">
        <v>18</v>
      </c>
      <c r="D94" t="s">
        <v>10</v>
      </c>
      <c r="E94">
        <v>2</v>
      </c>
      <c r="F94">
        <v>5.75</v>
      </c>
      <c r="G94">
        <v>1</v>
      </c>
      <c r="H94">
        <f t="shared" si="7"/>
        <v>0</v>
      </c>
      <c r="I94">
        <f t="shared" si="8"/>
        <v>1</v>
      </c>
      <c r="J94">
        <f t="shared" si="9"/>
        <v>2</v>
      </c>
      <c r="K94">
        <f t="shared" si="10"/>
        <v>1</v>
      </c>
      <c r="L94">
        <f t="shared" si="11"/>
        <v>1.8525000000000003</v>
      </c>
      <c r="M94">
        <f t="shared" si="12"/>
        <v>-0.85250000000000026</v>
      </c>
      <c r="N94">
        <f t="shared" si="13"/>
        <v>0.72675625000000044</v>
      </c>
      <c r="R94">
        <v>2</v>
      </c>
      <c r="S94">
        <v>5.75</v>
      </c>
      <c r="T94">
        <v>0</v>
      </c>
      <c r="U94">
        <v>1</v>
      </c>
      <c r="V94">
        <v>2</v>
      </c>
      <c r="W94">
        <v>1</v>
      </c>
    </row>
    <row r="95" spans="1:23" x14ac:dyDescent="0.3">
      <c r="A95" t="s">
        <v>7</v>
      </c>
      <c r="B95" t="s">
        <v>15</v>
      </c>
      <c r="C95" t="s">
        <v>18</v>
      </c>
      <c r="D95" t="s">
        <v>10</v>
      </c>
      <c r="E95">
        <v>2</v>
      </c>
      <c r="F95">
        <v>16.32</v>
      </c>
      <c r="G95">
        <v>4.3</v>
      </c>
      <c r="H95">
        <f t="shared" si="7"/>
        <v>0</v>
      </c>
      <c r="I95">
        <f t="shared" si="8"/>
        <v>1</v>
      </c>
      <c r="J95">
        <f t="shared" si="9"/>
        <v>2</v>
      </c>
      <c r="K95">
        <f t="shared" si="10"/>
        <v>1</v>
      </c>
      <c r="L95">
        <f t="shared" si="11"/>
        <v>3.0152000000000001</v>
      </c>
      <c r="M95">
        <f t="shared" si="12"/>
        <v>1.2847999999999997</v>
      </c>
      <c r="N95">
        <f t="shared" si="13"/>
        <v>1.6507110399999994</v>
      </c>
      <c r="R95">
        <v>2</v>
      </c>
      <c r="S95">
        <v>16.32</v>
      </c>
      <c r="T95">
        <v>0</v>
      </c>
      <c r="U95">
        <v>1</v>
      </c>
      <c r="V95">
        <v>2</v>
      </c>
      <c r="W95">
        <v>1</v>
      </c>
    </row>
    <row r="96" spans="1:23" x14ac:dyDescent="0.3">
      <c r="A96" t="s">
        <v>7</v>
      </c>
      <c r="B96" t="s">
        <v>8</v>
      </c>
      <c r="C96" t="s">
        <v>18</v>
      </c>
      <c r="D96" t="s">
        <v>10</v>
      </c>
      <c r="E96">
        <v>2</v>
      </c>
      <c r="F96">
        <v>22.75</v>
      </c>
      <c r="G96">
        <v>3.25</v>
      </c>
      <c r="H96">
        <f t="shared" si="7"/>
        <v>0</v>
      </c>
      <c r="I96">
        <f t="shared" si="8"/>
        <v>0</v>
      </c>
      <c r="J96">
        <f t="shared" si="9"/>
        <v>2</v>
      </c>
      <c r="K96">
        <f t="shared" si="10"/>
        <v>1</v>
      </c>
      <c r="L96">
        <f t="shared" si="11"/>
        <v>3.9224999999999999</v>
      </c>
      <c r="M96">
        <f t="shared" si="12"/>
        <v>-0.67249999999999988</v>
      </c>
      <c r="N96">
        <f t="shared" si="13"/>
        <v>0.45225624999999986</v>
      </c>
      <c r="R96">
        <v>2</v>
      </c>
      <c r="S96">
        <v>22.75</v>
      </c>
      <c r="T96">
        <v>0</v>
      </c>
      <c r="U96">
        <v>0</v>
      </c>
      <c r="V96">
        <v>2</v>
      </c>
      <c r="W96">
        <v>1</v>
      </c>
    </row>
    <row r="97" spans="1:23" x14ac:dyDescent="0.3">
      <c r="A97" t="s">
        <v>11</v>
      </c>
      <c r="B97" t="s">
        <v>15</v>
      </c>
      <c r="C97" t="s">
        <v>18</v>
      </c>
      <c r="D97" t="s">
        <v>10</v>
      </c>
      <c r="E97">
        <v>4</v>
      </c>
      <c r="F97">
        <v>40.17</v>
      </c>
      <c r="G97">
        <v>4.7300000000000004</v>
      </c>
      <c r="H97">
        <f t="shared" si="7"/>
        <v>1</v>
      </c>
      <c r="I97">
        <f t="shared" si="8"/>
        <v>1</v>
      </c>
      <c r="J97">
        <f t="shared" si="9"/>
        <v>2</v>
      </c>
      <c r="K97">
        <f t="shared" si="10"/>
        <v>1</v>
      </c>
      <c r="L97">
        <f t="shared" si="11"/>
        <v>6.1386999999999992</v>
      </c>
      <c r="M97">
        <f t="shared" si="12"/>
        <v>-1.4086999999999987</v>
      </c>
      <c r="N97">
        <f t="shared" si="13"/>
        <v>1.9844356899999964</v>
      </c>
      <c r="R97">
        <v>4</v>
      </c>
      <c r="S97">
        <v>40.17</v>
      </c>
      <c r="T97">
        <v>1</v>
      </c>
      <c r="U97">
        <v>1</v>
      </c>
      <c r="V97">
        <v>2</v>
      </c>
      <c r="W97">
        <v>1</v>
      </c>
    </row>
    <row r="98" spans="1:23" x14ac:dyDescent="0.3">
      <c r="A98" t="s">
        <v>11</v>
      </c>
      <c r="B98" t="s">
        <v>15</v>
      </c>
      <c r="C98" t="s">
        <v>18</v>
      </c>
      <c r="D98" t="s">
        <v>10</v>
      </c>
      <c r="E98">
        <v>2</v>
      </c>
      <c r="F98">
        <v>27.28</v>
      </c>
      <c r="G98">
        <v>4</v>
      </c>
      <c r="H98">
        <f t="shared" si="7"/>
        <v>1</v>
      </c>
      <c r="I98">
        <f t="shared" si="8"/>
        <v>1</v>
      </c>
      <c r="J98">
        <f t="shared" si="9"/>
        <v>2</v>
      </c>
      <c r="K98">
        <f t="shared" si="10"/>
        <v>1</v>
      </c>
      <c r="L98">
        <f t="shared" si="11"/>
        <v>4.3607999999999993</v>
      </c>
      <c r="M98">
        <f t="shared" si="12"/>
        <v>-0.36079999999999934</v>
      </c>
      <c r="N98">
        <f t="shared" si="13"/>
        <v>0.13017663999999954</v>
      </c>
      <c r="R98">
        <v>2</v>
      </c>
      <c r="S98">
        <v>27.28</v>
      </c>
      <c r="T98">
        <v>1</v>
      </c>
      <c r="U98">
        <v>1</v>
      </c>
      <c r="V98">
        <v>2</v>
      </c>
      <c r="W98">
        <v>1</v>
      </c>
    </row>
    <row r="99" spans="1:23" x14ac:dyDescent="0.3">
      <c r="A99" t="s">
        <v>11</v>
      </c>
      <c r="B99" t="s">
        <v>15</v>
      </c>
      <c r="C99" t="s">
        <v>18</v>
      </c>
      <c r="D99" t="s">
        <v>10</v>
      </c>
      <c r="E99">
        <v>2</v>
      </c>
      <c r="F99">
        <v>12.03</v>
      </c>
      <c r="G99">
        <v>1.5</v>
      </c>
      <c r="H99">
        <f t="shared" si="7"/>
        <v>1</v>
      </c>
      <c r="I99">
        <f t="shared" si="8"/>
        <v>1</v>
      </c>
      <c r="J99">
        <f t="shared" si="9"/>
        <v>2</v>
      </c>
      <c r="K99">
        <f t="shared" si="10"/>
        <v>1</v>
      </c>
      <c r="L99">
        <f t="shared" si="11"/>
        <v>2.6833</v>
      </c>
      <c r="M99">
        <f t="shared" si="12"/>
        <v>-1.1833</v>
      </c>
      <c r="N99">
        <f t="shared" si="13"/>
        <v>1.40019889</v>
      </c>
      <c r="R99">
        <v>2</v>
      </c>
      <c r="S99">
        <v>12.03</v>
      </c>
      <c r="T99">
        <v>1</v>
      </c>
      <c r="U99">
        <v>1</v>
      </c>
      <c r="V99">
        <v>2</v>
      </c>
      <c r="W99">
        <v>1</v>
      </c>
    </row>
    <row r="100" spans="1:23" x14ac:dyDescent="0.3">
      <c r="A100" t="s">
        <v>11</v>
      </c>
      <c r="B100" t="s">
        <v>15</v>
      </c>
      <c r="C100" t="s">
        <v>18</v>
      </c>
      <c r="D100" t="s">
        <v>10</v>
      </c>
      <c r="E100">
        <v>2</v>
      </c>
      <c r="F100">
        <v>21.01</v>
      </c>
      <c r="G100">
        <v>3</v>
      </c>
      <c r="H100">
        <f t="shared" si="7"/>
        <v>1</v>
      </c>
      <c r="I100">
        <f t="shared" si="8"/>
        <v>1</v>
      </c>
      <c r="J100">
        <f t="shared" si="9"/>
        <v>2</v>
      </c>
      <c r="K100">
        <f t="shared" si="10"/>
        <v>1</v>
      </c>
      <c r="L100">
        <f t="shared" si="11"/>
        <v>3.6711</v>
      </c>
      <c r="M100">
        <f t="shared" si="12"/>
        <v>-0.67110000000000003</v>
      </c>
      <c r="N100">
        <f t="shared" si="13"/>
        <v>0.45037521000000003</v>
      </c>
      <c r="R100">
        <v>2</v>
      </c>
      <c r="S100">
        <v>21.01</v>
      </c>
      <c r="T100">
        <v>1</v>
      </c>
      <c r="U100">
        <v>1</v>
      </c>
      <c r="V100">
        <v>2</v>
      </c>
      <c r="W100">
        <v>1</v>
      </c>
    </row>
    <row r="101" spans="1:23" x14ac:dyDescent="0.3">
      <c r="A101" t="s">
        <v>11</v>
      </c>
      <c r="B101" t="s">
        <v>8</v>
      </c>
      <c r="C101" t="s">
        <v>18</v>
      </c>
      <c r="D101" t="s">
        <v>10</v>
      </c>
      <c r="E101">
        <v>2</v>
      </c>
      <c r="F101">
        <v>12.46</v>
      </c>
      <c r="G101">
        <v>1.5</v>
      </c>
      <c r="H101">
        <f t="shared" si="7"/>
        <v>1</v>
      </c>
      <c r="I101">
        <f t="shared" si="8"/>
        <v>0</v>
      </c>
      <c r="J101">
        <f t="shared" si="9"/>
        <v>2</v>
      </c>
      <c r="K101">
        <f t="shared" si="10"/>
        <v>1</v>
      </c>
      <c r="L101">
        <f t="shared" si="11"/>
        <v>2.9306000000000001</v>
      </c>
      <c r="M101">
        <f t="shared" si="12"/>
        <v>-1.4306000000000001</v>
      </c>
      <c r="N101">
        <f t="shared" si="13"/>
        <v>2.0466163600000002</v>
      </c>
      <c r="R101">
        <v>2</v>
      </c>
      <c r="S101">
        <v>12.46</v>
      </c>
      <c r="T101">
        <v>1</v>
      </c>
      <c r="U101">
        <v>0</v>
      </c>
      <c r="V101">
        <v>2</v>
      </c>
      <c r="W101">
        <v>1</v>
      </c>
    </row>
    <row r="102" spans="1:23" x14ac:dyDescent="0.3">
      <c r="A102" t="s">
        <v>7</v>
      </c>
      <c r="B102" t="s">
        <v>15</v>
      </c>
      <c r="C102" t="s">
        <v>18</v>
      </c>
      <c r="D102" t="s">
        <v>10</v>
      </c>
      <c r="E102">
        <v>2</v>
      </c>
      <c r="F102">
        <v>11.35</v>
      </c>
      <c r="G102">
        <v>2.5</v>
      </c>
      <c r="H102">
        <f t="shared" si="7"/>
        <v>0</v>
      </c>
      <c r="I102">
        <f t="shared" si="8"/>
        <v>1</v>
      </c>
      <c r="J102">
        <f t="shared" si="9"/>
        <v>2</v>
      </c>
      <c r="K102">
        <f t="shared" si="10"/>
        <v>1</v>
      </c>
      <c r="L102">
        <f t="shared" si="11"/>
        <v>2.4685000000000001</v>
      </c>
      <c r="M102">
        <f t="shared" si="12"/>
        <v>3.1499999999999861E-2</v>
      </c>
      <c r="N102">
        <f t="shared" si="13"/>
        <v>9.9224999999999119E-4</v>
      </c>
      <c r="R102">
        <v>2</v>
      </c>
      <c r="S102">
        <v>11.35</v>
      </c>
      <c r="T102">
        <v>0</v>
      </c>
      <c r="U102">
        <v>1</v>
      </c>
      <c r="V102">
        <v>2</v>
      </c>
      <c r="W102">
        <v>1</v>
      </c>
    </row>
    <row r="103" spans="1:23" x14ac:dyDescent="0.3">
      <c r="A103" t="s">
        <v>7</v>
      </c>
      <c r="B103" t="s">
        <v>15</v>
      </c>
      <c r="C103" t="s">
        <v>18</v>
      </c>
      <c r="D103" t="s">
        <v>10</v>
      </c>
      <c r="E103">
        <v>2</v>
      </c>
      <c r="F103">
        <v>15.38</v>
      </c>
      <c r="G103">
        <v>3</v>
      </c>
      <c r="H103">
        <f t="shared" si="7"/>
        <v>0</v>
      </c>
      <c r="I103">
        <f t="shared" si="8"/>
        <v>1</v>
      </c>
      <c r="J103">
        <f t="shared" si="9"/>
        <v>2</v>
      </c>
      <c r="K103">
        <f t="shared" si="10"/>
        <v>1</v>
      </c>
      <c r="L103">
        <f t="shared" si="11"/>
        <v>2.9117999999999999</v>
      </c>
      <c r="M103">
        <f t="shared" si="12"/>
        <v>8.8200000000000056E-2</v>
      </c>
      <c r="N103">
        <f t="shared" si="13"/>
        <v>7.7792400000000102E-3</v>
      </c>
      <c r="R103">
        <v>2</v>
      </c>
      <c r="S103">
        <v>15.38</v>
      </c>
      <c r="T103">
        <v>0</v>
      </c>
      <c r="U103">
        <v>1</v>
      </c>
      <c r="V103">
        <v>2</v>
      </c>
      <c r="W103">
        <v>1</v>
      </c>
    </row>
    <row r="104" spans="1:23" x14ac:dyDescent="0.3">
      <c r="A104" t="s">
        <v>7</v>
      </c>
      <c r="B104" t="s">
        <v>15</v>
      </c>
      <c r="C104" t="s">
        <v>14</v>
      </c>
      <c r="D104" t="s">
        <v>10</v>
      </c>
      <c r="E104">
        <v>3</v>
      </c>
      <c r="F104">
        <v>44.3</v>
      </c>
      <c r="G104">
        <v>2.5</v>
      </c>
      <c r="H104">
        <f t="shared" si="7"/>
        <v>0</v>
      </c>
      <c r="I104">
        <f t="shared" si="8"/>
        <v>1</v>
      </c>
      <c r="J104">
        <f t="shared" si="9"/>
        <v>3</v>
      </c>
      <c r="K104">
        <f t="shared" si="10"/>
        <v>1</v>
      </c>
      <c r="L104">
        <f t="shared" si="11"/>
        <v>6.302999999999999</v>
      </c>
      <c r="M104">
        <f t="shared" si="12"/>
        <v>-3.802999999999999</v>
      </c>
      <c r="N104">
        <f t="shared" si="13"/>
        <v>14.462808999999993</v>
      </c>
      <c r="R104">
        <v>3</v>
      </c>
      <c r="S104">
        <v>44.3</v>
      </c>
      <c r="T104">
        <v>0</v>
      </c>
      <c r="U104">
        <v>1</v>
      </c>
      <c r="V104">
        <v>3</v>
      </c>
      <c r="W104">
        <v>1</v>
      </c>
    </row>
    <row r="105" spans="1:23" x14ac:dyDescent="0.3">
      <c r="A105" t="s">
        <v>7</v>
      </c>
      <c r="B105" t="s">
        <v>15</v>
      </c>
      <c r="C105" t="s">
        <v>14</v>
      </c>
      <c r="D105" t="s">
        <v>10</v>
      </c>
      <c r="E105">
        <v>2</v>
      </c>
      <c r="F105">
        <v>22.42</v>
      </c>
      <c r="G105">
        <v>3.48</v>
      </c>
      <c r="H105">
        <f t="shared" si="7"/>
        <v>0</v>
      </c>
      <c r="I105">
        <f t="shared" si="8"/>
        <v>1</v>
      </c>
      <c r="J105">
        <f t="shared" si="9"/>
        <v>3</v>
      </c>
      <c r="K105">
        <f t="shared" si="10"/>
        <v>1</v>
      </c>
      <c r="L105">
        <f t="shared" si="11"/>
        <v>3.7161999999999997</v>
      </c>
      <c r="M105">
        <f t="shared" si="12"/>
        <v>-0.23619999999999974</v>
      </c>
      <c r="N105">
        <f t="shared" si="13"/>
        <v>5.5790439999999879E-2</v>
      </c>
      <c r="R105">
        <v>2</v>
      </c>
      <c r="S105">
        <v>22.42</v>
      </c>
      <c r="T105">
        <v>0</v>
      </c>
      <c r="U105">
        <v>1</v>
      </c>
      <c r="V105">
        <v>3</v>
      </c>
      <c r="W105">
        <v>1</v>
      </c>
    </row>
    <row r="106" spans="1:23" x14ac:dyDescent="0.3">
      <c r="A106" t="s">
        <v>7</v>
      </c>
      <c r="B106" t="s">
        <v>8</v>
      </c>
      <c r="C106" t="s">
        <v>14</v>
      </c>
      <c r="D106" t="s">
        <v>10</v>
      </c>
      <c r="E106">
        <v>2</v>
      </c>
      <c r="F106">
        <v>20.92</v>
      </c>
      <c r="G106">
        <v>4.08</v>
      </c>
      <c r="H106">
        <f t="shared" si="7"/>
        <v>0</v>
      </c>
      <c r="I106">
        <f t="shared" si="8"/>
        <v>0</v>
      </c>
      <c r="J106">
        <f t="shared" si="9"/>
        <v>3</v>
      </c>
      <c r="K106">
        <f t="shared" si="10"/>
        <v>1</v>
      </c>
      <c r="L106">
        <f t="shared" si="11"/>
        <v>3.7511999999999999</v>
      </c>
      <c r="M106">
        <f t="shared" si="12"/>
        <v>0.3288000000000002</v>
      </c>
      <c r="N106">
        <f t="shared" si="13"/>
        <v>0.10810944000000014</v>
      </c>
      <c r="R106">
        <v>2</v>
      </c>
      <c r="S106">
        <v>20.92</v>
      </c>
      <c r="T106">
        <v>0</v>
      </c>
      <c r="U106">
        <v>0</v>
      </c>
      <c r="V106">
        <v>3</v>
      </c>
      <c r="W106">
        <v>1</v>
      </c>
    </row>
    <row r="107" spans="1:23" x14ac:dyDescent="0.3">
      <c r="A107" t="s">
        <v>11</v>
      </c>
      <c r="B107" t="s">
        <v>15</v>
      </c>
      <c r="C107" t="s">
        <v>14</v>
      </c>
      <c r="D107" t="s">
        <v>10</v>
      </c>
      <c r="E107">
        <v>2</v>
      </c>
      <c r="F107">
        <v>15.36</v>
      </c>
      <c r="G107">
        <v>1.64</v>
      </c>
      <c r="H107">
        <f t="shared" si="7"/>
        <v>1</v>
      </c>
      <c r="I107">
        <f t="shared" si="8"/>
        <v>1</v>
      </c>
      <c r="J107">
        <f t="shared" si="9"/>
        <v>3</v>
      </c>
      <c r="K107">
        <f t="shared" si="10"/>
        <v>1</v>
      </c>
      <c r="L107">
        <f t="shared" si="11"/>
        <v>3.0795999999999997</v>
      </c>
      <c r="M107">
        <f t="shared" si="12"/>
        <v>-1.4395999999999998</v>
      </c>
      <c r="N107">
        <f t="shared" si="13"/>
        <v>2.0724481599999995</v>
      </c>
      <c r="R107">
        <v>2</v>
      </c>
      <c r="S107">
        <v>15.36</v>
      </c>
      <c r="T107">
        <v>1</v>
      </c>
      <c r="U107">
        <v>1</v>
      </c>
      <c r="V107">
        <v>3</v>
      </c>
      <c r="W107">
        <v>1</v>
      </c>
    </row>
    <row r="108" spans="1:23" x14ac:dyDescent="0.3">
      <c r="A108" t="s">
        <v>11</v>
      </c>
      <c r="B108" t="s">
        <v>15</v>
      </c>
      <c r="C108" t="s">
        <v>14</v>
      </c>
      <c r="D108" t="s">
        <v>10</v>
      </c>
      <c r="E108">
        <v>2</v>
      </c>
      <c r="F108">
        <v>20.49</v>
      </c>
      <c r="G108">
        <v>4.0599999999999996</v>
      </c>
      <c r="H108">
        <f t="shared" si="7"/>
        <v>1</v>
      </c>
      <c r="I108">
        <f t="shared" si="8"/>
        <v>1</v>
      </c>
      <c r="J108">
        <f t="shared" si="9"/>
        <v>3</v>
      </c>
      <c r="K108">
        <f t="shared" si="10"/>
        <v>1</v>
      </c>
      <c r="L108">
        <f t="shared" si="11"/>
        <v>3.6438999999999999</v>
      </c>
      <c r="M108">
        <f t="shared" si="12"/>
        <v>0.41609999999999969</v>
      </c>
      <c r="N108">
        <f t="shared" si="13"/>
        <v>0.17313920999999974</v>
      </c>
      <c r="R108">
        <v>2</v>
      </c>
      <c r="S108">
        <v>20.49</v>
      </c>
      <c r="T108">
        <v>1</v>
      </c>
      <c r="U108">
        <v>1</v>
      </c>
      <c r="V108">
        <v>3</v>
      </c>
      <c r="W108">
        <v>1</v>
      </c>
    </row>
    <row r="109" spans="1:23" x14ac:dyDescent="0.3">
      <c r="A109" t="s">
        <v>11</v>
      </c>
      <c r="B109" t="s">
        <v>15</v>
      </c>
      <c r="C109" t="s">
        <v>14</v>
      </c>
      <c r="D109" t="s">
        <v>10</v>
      </c>
      <c r="E109">
        <v>2</v>
      </c>
      <c r="F109">
        <v>25.21</v>
      </c>
      <c r="G109">
        <v>4.29</v>
      </c>
      <c r="H109">
        <f t="shared" si="7"/>
        <v>1</v>
      </c>
      <c r="I109">
        <f t="shared" si="8"/>
        <v>1</v>
      </c>
      <c r="J109">
        <f t="shared" si="9"/>
        <v>3</v>
      </c>
      <c r="K109">
        <f t="shared" si="10"/>
        <v>1</v>
      </c>
      <c r="L109">
        <f t="shared" si="11"/>
        <v>4.1630999999999991</v>
      </c>
      <c r="M109">
        <f t="shared" si="12"/>
        <v>0.1269000000000009</v>
      </c>
      <c r="N109">
        <f t="shared" si="13"/>
        <v>1.610361000000023E-2</v>
      </c>
      <c r="R109">
        <v>2</v>
      </c>
      <c r="S109">
        <v>25.21</v>
      </c>
      <c r="T109">
        <v>1</v>
      </c>
      <c r="U109">
        <v>1</v>
      </c>
      <c r="V109">
        <v>3</v>
      </c>
      <c r="W109">
        <v>1</v>
      </c>
    </row>
    <row r="110" spans="1:23" x14ac:dyDescent="0.3">
      <c r="A110" t="s">
        <v>11</v>
      </c>
      <c r="B110" t="s">
        <v>8</v>
      </c>
      <c r="C110" t="s">
        <v>14</v>
      </c>
      <c r="D110" t="s">
        <v>10</v>
      </c>
      <c r="E110">
        <v>2</v>
      </c>
      <c r="F110">
        <v>18.239999999999998</v>
      </c>
      <c r="G110">
        <v>3.76</v>
      </c>
      <c r="H110">
        <f t="shared" si="7"/>
        <v>1</v>
      </c>
      <c r="I110">
        <f t="shared" si="8"/>
        <v>0</v>
      </c>
      <c r="J110">
        <f t="shared" si="9"/>
        <v>3</v>
      </c>
      <c r="K110">
        <f t="shared" si="10"/>
        <v>1</v>
      </c>
      <c r="L110">
        <f t="shared" si="11"/>
        <v>3.5963999999999996</v>
      </c>
      <c r="M110">
        <f t="shared" si="12"/>
        <v>0.16360000000000019</v>
      </c>
      <c r="N110">
        <f t="shared" si="13"/>
        <v>2.6764960000000063E-2</v>
      </c>
      <c r="R110">
        <v>2</v>
      </c>
      <c r="S110">
        <v>18.239999999999998</v>
      </c>
      <c r="T110">
        <v>1</v>
      </c>
      <c r="U110">
        <v>0</v>
      </c>
      <c r="V110">
        <v>3</v>
      </c>
      <c r="W110">
        <v>1</v>
      </c>
    </row>
    <row r="111" spans="1:23" x14ac:dyDescent="0.3">
      <c r="A111" t="s">
        <v>7</v>
      </c>
      <c r="B111" t="s">
        <v>15</v>
      </c>
      <c r="C111" t="s">
        <v>14</v>
      </c>
      <c r="D111" t="s">
        <v>10</v>
      </c>
      <c r="E111">
        <v>2</v>
      </c>
      <c r="F111">
        <v>14.31</v>
      </c>
      <c r="G111">
        <v>4</v>
      </c>
      <c r="H111">
        <f t="shared" si="7"/>
        <v>0</v>
      </c>
      <c r="I111">
        <f t="shared" si="8"/>
        <v>1</v>
      </c>
      <c r="J111">
        <f t="shared" si="9"/>
        <v>3</v>
      </c>
      <c r="K111">
        <f t="shared" si="10"/>
        <v>1</v>
      </c>
      <c r="L111">
        <f t="shared" si="11"/>
        <v>2.8240999999999996</v>
      </c>
      <c r="M111">
        <f t="shared" si="12"/>
        <v>1.1759000000000004</v>
      </c>
      <c r="N111">
        <f t="shared" si="13"/>
        <v>1.3827408100000009</v>
      </c>
      <c r="R111">
        <v>2</v>
      </c>
      <c r="S111">
        <v>14.31</v>
      </c>
      <c r="T111">
        <v>0</v>
      </c>
      <c r="U111">
        <v>1</v>
      </c>
      <c r="V111">
        <v>3</v>
      </c>
      <c r="W111">
        <v>1</v>
      </c>
    </row>
    <row r="112" spans="1:23" x14ac:dyDescent="0.3">
      <c r="A112" t="s">
        <v>11</v>
      </c>
      <c r="B112" t="s">
        <v>8</v>
      </c>
      <c r="C112" t="s">
        <v>14</v>
      </c>
      <c r="D112" t="s">
        <v>10</v>
      </c>
      <c r="E112">
        <v>2</v>
      </c>
      <c r="F112">
        <v>14</v>
      </c>
      <c r="G112">
        <v>3</v>
      </c>
      <c r="H112">
        <f t="shared" si="7"/>
        <v>1</v>
      </c>
      <c r="I112">
        <f t="shared" si="8"/>
        <v>0</v>
      </c>
      <c r="J112">
        <f t="shared" si="9"/>
        <v>3</v>
      </c>
      <c r="K112">
        <f t="shared" si="10"/>
        <v>1</v>
      </c>
      <c r="L112">
        <f t="shared" si="11"/>
        <v>3.1300000000000003</v>
      </c>
      <c r="M112">
        <f t="shared" si="12"/>
        <v>-0.13000000000000034</v>
      </c>
      <c r="N112">
        <f t="shared" si="13"/>
        <v>1.6900000000000089E-2</v>
      </c>
      <c r="R112">
        <v>2</v>
      </c>
      <c r="S112">
        <v>14</v>
      </c>
      <c r="T112">
        <v>1</v>
      </c>
      <c r="U112">
        <v>0</v>
      </c>
      <c r="V112">
        <v>3</v>
      </c>
      <c r="W112">
        <v>1</v>
      </c>
    </row>
    <row r="113" spans="1:23" x14ac:dyDescent="0.3">
      <c r="A113" t="s">
        <v>7</v>
      </c>
      <c r="B113" t="s">
        <v>8</v>
      </c>
      <c r="C113" t="s">
        <v>14</v>
      </c>
      <c r="D113" t="s">
        <v>10</v>
      </c>
      <c r="E113">
        <v>1</v>
      </c>
      <c r="F113">
        <v>7.25</v>
      </c>
      <c r="G113">
        <v>1</v>
      </c>
      <c r="H113">
        <f t="shared" si="7"/>
        <v>0</v>
      </c>
      <c r="I113">
        <f t="shared" si="8"/>
        <v>0</v>
      </c>
      <c r="J113">
        <f t="shared" si="9"/>
        <v>3</v>
      </c>
      <c r="K113">
        <f t="shared" si="10"/>
        <v>1</v>
      </c>
      <c r="L113">
        <f t="shared" si="11"/>
        <v>2.0674999999999999</v>
      </c>
      <c r="M113">
        <f t="shared" si="12"/>
        <v>-1.0674999999999999</v>
      </c>
      <c r="N113">
        <f t="shared" si="13"/>
        <v>1.1395562499999998</v>
      </c>
      <c r="R113">
        <v>1</v>
      </c>
      <c r="S113">
        <v>7.25</v>
      </c>
      <c r="T113">
        <v>0</v>
      </c>
      <c r="U113">
        <v>0</v>
      </c>
      <c r="V113">
        <v>3</v>
      </c>
      <c r="W113">
        <v>1</v>
      </c>
    </row>
    <row r="114" spans="1:23" x14ac:dyDescent="0.3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  <c r="H114">
        <f t="shared" si="7"/>
        <v>1</v>
      </c>
      <c r="I114">
        <f t="shared" si="8"/>
        <v>0</v>
      </c>
      <c r="J114">
        <f t="shared" si="9"/>
        <v>4</v>
      </c>
      <c r="K114">
        <f t="shared" si="10"/>
        <v>1</v>
      </c>
      <c r="L114">
        <f t="shared" si="11"/>
        <v>5.9877000000000002</v>
      </c>
      <c r="M114">
        <f t="shared" si="12"/>
        <v>-1.9877000000000002</v>
      </c>
      <c r="N114">
        <f t="shared" si="13"/>
        <v>3.9509512900000008</v>
      </c>
      <c r="R114">
        <v>3</v>
      </c>
      <c r="S114">
        <v>38.07</v>
      </c>
      <c r="T114">
        <v>1</v>
      </c>
      <c r="U114">
        <v>0</v>
      </c>
      <c r="V114">
        <v>4</v>
      </c>
      <c r="W114">
        <v>1</v>
      </c>
    </row>
    <row r="115" spans="1:23" x14ac:dyDescent="0.3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  <c r="H115">
        <f t="shared" si="7"/>
        <v>1</v>
      </c>
      <c r="I115">
        <f t="shared" si="8"/>
        <v>0</v>
      </c>
      <c r="J115">
        <f t="shared" si="9"/>
        <v>4</v>
      </c>
      <c r="K115">
        <f t="shared" si="10"/>
        <v>1</v>
      </c>
      <c r="L115">
        <f t="shared" si="11"/>
        <v>4.2545000000000002</v>
      </c>
      <c r="M115">
        <f t="shared" si="12"/>
        <v>-1.7045000000000003</v>
      </c>
      <c r="N115">
        <f t="shared" si="13"/>
        <v>2.9053202500000013</v>
      </c>
      <c r="R115">
        <v>2</v>
      </c>
      <c r="S115">
        <v>23.95</v>
      </c>
      <c r="T115">
        <v>1</v>
      </c>
      <c r="U115">
        <v>0</v>
      </c>
      <c r="V115">
        <v>4</v>
      </c>
      <c r="W115">
        <v>1</v>
      </c>
    </row>
    <row r="116" spans="1:23" x14ac:dyDescent="0.3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  <c r="H116">
        <f t="shared" si="7"/>
        <v>0</v>
      </c>
      <c r="I116">
        <f t="shared" si="8"/>
        <v>0</v>
      </c>
      <c r="J116">
        <f t="shared" si="9"/>
        <v>4</v>
      </c>
      <c r="K116">
        <f t="shared" si="10"/>
        <v>1</v>
      </c>
      <c r="L116">
        <f t="shared" si="11"/>
        <v>4.4881000000000002</v>
      </c>
      <c r="M116">
        <f t="shared" si="12"/>
        <v>-0.4881000000000002</v>
      </c>
      <c r="N116">
        <f t="shared" si="13"/>
        <v>0.23824161000000019</v>
      </c>
      <c r="R116">
        <v>3</v>
      </c>
      <c r="S116">
        <v>25.71</v>
      </c>
      <c r="T116">
        <v>0</v>
      </c>
      <c r="U116">
        <v>0</v>
      </c>
      <c r="V116">
        <v>4</v>
      </c>
      <c r="W116">
        <v>1</v>
      </c>
    </row>
    <row r="117" spans="1:23" x14ac:dyDescent="0.3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  <c r="H117">
        <f t="shared" si="7"/>
        <v>0</v>
      </c>
      <c r="I117">
        <f t="shared" si="8"/>
        <v>0</v>
      </c>
      <c r="J117">
        <f t="shared" si="9"/>
        <v>4</v>
      </c>
      <c r="K117">
        <f t="shared" si="10"/>
        <v>1</v>
      </c>
      <c r="L117">
        <f t="shared" si="11"/>
        <v>3.3841000000000001</v>
      </c>
      <c r="M117">
        <f t="shared" si="12"/>
        <v>0.11589999999999989</v>
      </c>
      <c r="N117">
        <f t="shared" si="13"/>
        <v>1.3432809999999976E-2</v>
      </c>
      <c r="R117">
        <v>2</v>
      </c>
      <c r="S117">
        <v>17.309999999999999</v>
      </c>
      <c r="T117">
        <v>0</v>
      </c>
      <c r="U117">
        <v>0</v>
      </c>
      <c r="V117">
        <v>4</v>
      </c>
      <c r="W117">
        <v>1</v>
      </c>
    </row>
    <row r="118" spans="1:23" x14ac:dyDescent="0.3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  <c r="H118">
        <f t="shared" si="7"/>
        <v>1</v>
      </c>
      <c r="I118">
        <f t="shared" si="8"/>
        <v>0</v>
      </c>
      <c r="J118">
        <f t="shared" si="9"/>
        <v>4</v>
      </c>
      <c r="K118">
        <f t="shared" si="10"/>
        <v>1</v>
      </c>
      <c r="L118">
        <f t="shared" si="11"/>
        <v>5.2722999999999995</v>
      </c>
      <c r="M118">
        <f t="shared" si="12"/>
        <v>-0.20229999999999926</v>
      </c>
      <c r="N118">
        <f t="shared" si="13"/>
        <v>4.0925289999999698E-2</v>
      </c>
      <c r="R118">
        <v>4</v>
      </c>
      <c r="S118">
        <v>29.93</v>
      </c>
      <c r="T118">
        <v>1</v>
      </c>
      <c r="U118">
        <v>0</v>
      </c>
      <c r="V118">
        <v>4</v>
      </c>
      <c r="W118">
        <v>1</v>
      </c>
    </row>
    <row r="119" spans="1:23" x14ac:dyDescent="0.3">
      <c r="A119" t="s">
        <v>7</v>
      </c>
      <c r="B119" t="s">
        <v>8</v>
      </c>
      <c r="C119" t="s">
        <v>16</v>
      </c>
      <c r="D119" t="s">
        <v>17</v>
      </c>
      <c r="E119">
        <v>2</v>
      </c>
      <c r="F119">
        <v>10.65</v>
      </c>
      <c r="G119">
        <v>1.5</v>
      </c>
      <c r="H119">
        <f t="shared" si="7"/>
        <v>0</v>
      </c>
      <c r="I119">
        <f t="shared" si="8"/>
        <v>0</v>
      </c>
      <c r="J119">
        <f t="shared" si="9"/>
        <v>1</v>
      </c>
      <c r="K119">
        <f t="shared" si="10"/>
        <v>0</v>
      </c>
      <c r="L119">
        <f t="shared" si="11"/>
        <v>2.4815</v>
      </c>
      <c r="M119">
        <f t="shared" si="12"/>
        <v>-0.98150000000000004</v>
      </c>
      <c r="N119">
        <f t="shared" si="13"/>
        <v>0.96334225000000007</v>
      </c>
      <c r="R119">
        <v>2</v>
      </c>
      <c r="S119">
        <v>10.65</v>
      </c>
      <c r="T119">
        <v>0</v>
      </c>
      <c r="U119">
        <v>0</v>
      </c>
      <c r="V119">
        <v>1</v>
      </c>
      <c r="W119">
        <v>0</v>
      </c>
    </row>
    <row r="120" spans="1:23" x14ac:dyDescent="0.3">
      <c r="A120" t="s">
        <v>7</v>
      </c>
      <c r="B120" t="s">
        <v>8</v>
      </c>
      <c r="C120" t="s">
        <v>16</v>
      </c>
      <c r="D120" t="s">
        <v>17</v>
      </c>
      <c r="E120">
        <v>2</v>
      </c>
      <c r="F120">
        <v>12.43</v>
      </c>
      <c r="G120">
        <v>1.8</v>
      </c>
      <c r="H120">
        <f t="shared" si="7"/>
        <v>0</v>
      </c>
      <c r="I120">
        <f t="shared" si="8"/>
        <v>0</v>
      </c>
      <c r="J120">
        <f t="shared" si="9"/>
        <v>1</v>
      </c>
      <c r="K120">
        <f t="shared" si="10"/>
        <v>0</v>
      </c>
      <c r="L120">
        <f t="shared" si="11"/>
        <v>2.6772999999999998</v>
      </c>
      <c r="M120">
        <f t="shared" si="12"/>
        <v>-0.87729999999999975</v>
      </c>
      <c r="N120">
        <f t="shared" si="13"/>
        <v>0.76965528999999955</v>
      </c>
      <c r="R120">
        <v>2</v>
      </c>
      <c r="S120">
        <v>12.43</v>
      </c>
      <c r="T120">
        <v>0</v>
      </c>
      <c r="U120">
        <v>0</v>
      </c>
      <c r="V120">
        <v>1</v>
      </c>
      <c r="W120">
        <v>0</v>
      </c>
    </row>
    <row r="121" spans="1:23" x14ac:dyDescent="0.3">
      <c r="A121" t="s">
        <v>7</v>
      </c>
      <c r="B121" t="s">
        <v>8</v>
      </c>
      <c r="C121" t="s">
        <v>16</v>
      </c>
      <c r="D121" t="s">
        <v>17</v>
      </c>
      <c r="E121">
        <v>4</v>
      </c>
      <c r="F121">
        <v>24.08</v>
      </c>
      <c r="G121">
        <v>2.92</v>
      </c>
      <c r="H121">
        <f t="shared" si="7"/>
        <v>0</v>
      </c>
      <c r="I121">
        <f t="shared" si="8"/>
        <v>0</v>
      </c>
      <c r="J121">
        <f t="shared" si="9"/>
        <v>1</v>
      </c>
      <c r="K121">
        <f t="shared" si="10"/>
        <v>0</v>
      </c>
      <c r="L121">
        <f t="shared" si="11"/>
        <v>4.3188000000000004</v>
      </c>
      <c r="M121">
        <f t="shared" si="12"/>
        <v>-1.3988000000000005</v>
      </c>
      <c r="N121">
        <f t="shared" si="13"/>
        <v>1.9566414400000014</v>
      </c>
      <c r="R121">
        <v>4</v>
      </c>
      <c r="S121">
        <v>24.08</v>
      </c>
      <c r="T121">
        <v>0</v>
      </c>
      <c r="U121">
        <v>0</v>
      </c>
      <c r="V121">
        <v>1</v>
      </c>
      <c r="W121">
        <v>0</v>
      </c>
    </row>
    <row r="122" spans="1:23" x14ac:dyDescent="0.3">
      <c r="A122" t="s">
        <v>11</v>
      </c>
      <c r="B122" t="s">
        <v>8</v>
      </c>
      <c r="C122" t="s">
        <v>16</v>
      </c>
      <c r="D122" t="s">
        <v>17</v>
      </c>
      <c r="E122">
        <v>2</v>
      </c>
      <c r="F122">
        <v>11.69</v>
      </c>
      <c r="G122">
        <v>2.31</v>
      </c>
      <c r="H122">
        <f t="shared" si="7"/>
        <v>1</v>
      </c>
      <c r="I122">
        <f t="shared" si="8"/>
        <v>0</v>
      </c>
      <c r="J122">
        <f t="shared" si="9"/>
        <v>1</v>
      </c>
      <c r="K122">
        <f t="shared" si="10"/>
        <v>0</v>
      </c>
      <c r="L122">
        <f t="shared" si="11"/>
        <v>2.7359</v>
      </c>
      <c r="M122">
        <f t="shared" si="12"/>
        <v>-0.42589999999999995</v>
      </c>
      <c r="N122">
        <f t="shared" si="13"/>
        <v>0.18139080999999996</v>
      </c>
      <c r="R122">
        <v>2</v>
      </c>
      <c r="S122">
        <v>11.69</v>
      </c>
      <c r="T122">
        <v>1</v>
      </c>
      <c r="U122">
        <v>0</v>
      </c>
      <c r="V122">
        <v>1</v>
      </c>
      <c r="W122">
        <v>0</v>
      </c>
    </row>
    <row r="123" spans="1:23" x14ac:dyDescent="0.3">
      <c r="A123" t="s">
        <v>7</v>
      </c>
      <c r="B123" t="s">
        <v>8</v>
      </c>
      <c r="C123" t="s">
        <v>16</v>
      </c>
      <c r="D123" t="s">
        <v>17</v>
      </c>
      <c r="E123">
        <v>2</v>
      </c>
      <c r="F123">
        <v>13.42</v>
      </c>
      <c r="G123">
        <v>1.68</v>
      </c>
      <c r="H123">
        <f t="shared" si="7"/>
        <v>0</v>
      </c>
      <c r="I123">
        <f t="shared" si="8"/>
        <v>0</v>
      </c>
      <c r="J123">
        <f t="shared" si="9"/>
        <v>1</v>
      </c>
      <c r="K123">
        <f t="shared" si="10"/>
        <v>0</v>
      </c>
      <c r="L123">
        <f t="shared" si="11"/>
        <v>2.7861999999999996</v>
      </c>
      <c r="M123">
        <f t="shared" si="12"/>
        <v>-1.1061999999999996</v>
      </c>
      <c r="N123">
        <f t="shared" si="13"/>
        <v>1.2236784399999991</v>
      </c>
      <c r="R123">
        <v>2</v>
      </c>
      <c r="S123">
        <v>13.42</v>
      </c>
      <c r="T123">
        <v>0</v>
      </c>
      <c r="U123">
        <v>0</v>
      </c>
      <c r="V123">
        <v>1</v>
      </c>
      <c r="W123">
        <v>0</v>
      </c>
    </row>
    <row r="124" spans="1:23" x14ac:dyDescent="0.3">
      <c r="A124" t="s">
        <v>11</v>
      </c>
      <c r="B124" t="s">
        <v>8</v>
      </c>
      <c r="C124" t="s">
        <v>16</v>
      </c>
      <c r="D124" t="s">
        <v>17</v>
      </c>
      <c r="E124">
        <v>2</v>
      </c>
      <c r="F124">
        <v>14.26</v>
      </c>
      <c r="G124">
        <v>2.5</v>
      </c>
      <c r="H124">
        <f t="shared" si="7"/>
        <v>1</v>
      </c>
      <c r="I124">
        <f t="shared" si="8"/>
        <v>0</v>
      </c>
      <c r="J124">
        <f t="shared" si="9"/>
        <v>1</v>
      </c>
      <c r="K124">
        <f t="shared" si="10"/>
        <v>0</v>
      </c>
      <c r="L124">
        <f t="shared" si="11"/>
        <v>3.0186000000000002</v>
      </c>
      <c r="M124">
        <f t="shared" si="12"/>
        <v>-0.51860000000000017</v>
      </c>
      <c r="N124">
        <f t="shared" si="13"/>
        <v>0.26894596000000021</v>
      </c>
      <c r="R124">
        <v>2</v>
      </c>
      <c r="S124">
        <v>14.26</v>
      </c>
      <c r="T124">
        <v>1</v>
      </c>
      <c r="U124">
        <v>0</v>
      </c>
      <c r="V124">
        <v>1</v>
      </c>
      <c r="W124">
        <v>0</v>
      </c>
    </row>
    <row r="125" spans="1:23" x14ac:dyDescent="0.3">
      <c r="A125" t="s">
        <v>11</v>
      </c>
      <c r="B125" t="s">
        <v>8</v>
      </c>
      <c r="C125" t="s">
        <v>16</v>
      </c>
      <c r="D125" t="s">
        <v>17</v>
      </c>
      <c r="E125">
        <v>2</v>
      </c>
      <c r="F125">
        <v>15.95</v>
      </c>
      <c r="G125">
        <v>2</v>
      </c>
      <c r="H125">
        <f t="shared" si="7"/>
        <v>1</v>
      </c>
      <c r="I125">
        <f t="shared" si="8"/>
        <v>0</v>
      </c>
      <c r="J125">
        <f t="shared" si="9"/>
        <v>1</v>
      </c>
      <c r="K125">
        <f t="shared" si="10"/>
        <v>0</v>
      </c>
      <c r="L125">
        <f t="shared" si="11"/>
        <v>3.2044999999999999</v>
      </c>
      <c r="M125">
        <f t="shared" si="12"/>
        <v>-1.2044999999999999</v>
      </c>
      <c r="N125">
        <f t="shared" si="13"/>
        <v>1.4508202499999998</v>
      </c>
      <c r="R125">
        <v>2</v>
      </c>
      <c r="S125">
        <v>15.95</v>
      </c>
      <c r="T125">
        <v>1</v>
      </c>
      <c r="U125">
        <v>0</v>
      </c>
      <c r="V125">
        <v>1</v>
      </c>
      <c r="W125">
        <v>0</v>
      </c>
    </row>
    <row r="126" spans="1:23" x14ac:dyDescent="0.3">
      <c r="A126" t="s">
        <v>7</v>
      </c>
      <c r="B126" t="s">
        <v>8</v>
      </c>
      <c r="C126" t="s">
        <v>16</v>
      </c>
      <c r="D126" t="s">
        <v>17</v>
      </c>
      <c r="E126">
        <v>2</v>
      </c>
      <c r="F126">
        <v>12.48</v>
      </c>
      <c r="G126">
        <v>2.52</v>
      </c>
      <c r="H126">
        <f t="shared" si="7"/>
        <v>0</v>
      </c>
      <c r="I126">
        <f t="shared" si="8"/>
        <v>0</v>
      </c>
      <c r="J126">
        <f t="shared" si="9"/>
        <v>1</v>
      </c>
      <c r="K126">
        <f t="shared" si="10"/>
        <v>0</v>
      </c>
      <c r="L126">
        <f t="shared" si="11"/>
        <v>2.6827999999999999</v>
      </c>
      <c r="M126">
        <f t="shared" si="12"/>
        <v>-0.16279999999999983</v>
      </c>
      <c r="N126">
        <f t="shared" si="13"/>
        <v>2.6503839999999945E-2</v>
      </c>
      <c r="R126">
        <v>2</v>
      </c>
      <c r="S126">
        <v>12.48</v>
      </c>
      <c r="T126">
        <v>0</v>
      </c>
      <c r="U126">
        <v>0</v>
      </c>
      <c r="V126">
        <v>1</v>
      </c>
      <c r="W126">
        <v>0</v>
      </c>
    </row>
    <row r="127" spans="1:23" x14ac:dyDescent="0.3">
      <c r="A127" t="s">
        <v>7</v>
      </c>
      <c r="B127" t="s">
        <v>8</v>
      </c>
      <c r="C127" t="s">
        <v>16</v>
      </c>
      <c r="D127" t="s">
        <v>17</v>
      </c>
      <c r="E127">
        <v>6</v>
      </c>
      <c r="F127">
        <v>29.8</v>
      </c>
      <c r="G127">
        <v>4.2</v>
      </c>
      <c r="H127">
        <f t="shared" si="7"/>
        <v>0</v>
      </c>
      <c r="I127">
        <f t="shared" si="8"/>
        <v>0</v>
      </c>
      <c r="J127">
        <f t="shared" si="9"/>
        <v>1</v>
      </c>
      <c r="K127">
        <f t="shared" si="10"/>
        <v>0</v>
      </c>
      <c r="L127">
        <f t="shared" si="11"/>
        <v>5.3080000000000007</v>
      </c>
      <c r="M127">
        <f t="shared" si="12"/>
        <v>-1.1080000000000005</v>
      </c>
      <c r="N127">
        <f t="shared" si="13"/>
        <v>1.2276640000000012</v>
      </c>
      <c r="R127">
        <v>6</v>
      </c>
      <c r="S127">
        <v>29.8</v>
      </c>
      <c r="T127">
        <v>0</v>
      </c>
      <c r="U127">
        <v>0</v>
      </c>
      <c r="V127">
        <v>1</v>
      </c>
      <c r="W127">
        <v>0</v>
      </c>
    </row>
    <row r="128" spans="1:23" x14ac:dyDescent="0.3">
      <c r="A128" t="s">
        <v>11</v>
      </c>
      <c r="B128" t="s">
        <v>8</v>
      </c>
      <c r="C128" t="s">
        <v>16</v>
      </c>
      <c r="D128" t="s">
        <v>17</v>
      </c>
      <c r="E128">
        <v>2</v>
      </c>
      <c r="F128">
        <v>8.52</v>
      </c>
      <c r="G128">
        <v>1.48</v>
      </c>
      <c r="H128">
        <f t="shared" si="7"/>
        <v>1</v>
      </c>
      <c r="I128">
        <f t="shared" si="8"/>
        <v>0</v>
      </c>
      <c r="J128">
        <f t="shared" si="9"/>
        <v>1</v>
      </c>
      <c r="K128">
        <f t="shared" si="10"/>
        <v>0</v>
      </c>
      <c r="L128">
        <f t="shared" si="11"/>
        <v>2.3872</v>
      </c>
      <c r="M128">
        <f t="shared" si="12"/>
        <v>-0.90720000000000001</v>
      </c>
      <c r="N128">
        <f t="shared" si="13"/>
        <v>0.82301184000000005</v>
      </c>
      <c r="R128">
        <v>2</v>
      </c>
      <c r="S128">
        <v>8.52</v>
      </c>
      <c r="T128">
        <v>1</v>
      </c>
      <c r="U128">
        <v>0</v>
      </c>
      <c r="V128">
        <v>1</v>
      </c>
      <c r="W128">
        <v>0</v>
      </c>
    </row>
    <row r="129" spans="1:23" x14ac:dyDescent="0.3">
      <c r="A129" t="s">
        <v>7</v>
      </c>
      <c r="B129" t="s">
        <v>8</v>
      </c>
      <c r="C129" t="s">
        <v>16</v>
      </c>
      <c r="D129" t="s">
        <v>17</v>
      </c>
      <c r="E129">
        <v>2</v>
      </c>
      <c r="F129">
        <v>14.52</v>
      </c>
      <c r="G129">
        <v>2</v>
      </c>
      <c r="H129">
        <f t="shared" si="7"/>
        <v>0</v>
      </c>
      <c r="I129">
        <f t="shared" si="8"/>
        <v>0</v>
      </c>
      <c r="J129">
        <f t="shared" si="9"/>
        <v>1</v>
      </c>
      <c r="K129">
        <f t="shared" si="10"/>
        <v>0</v>
      </c>
      <c r="L129">
        <f t="shared" si="11"/>
        <v>2.9072</v>
      </c>
      <c r="M129">
        <f t="shared" si="12"/>
        <v>-0.90720000000000001</v>
      </c>
      <c r="N129">
        <f t="shared" si="13"/>
        <v>0.82301184000000005</v>
      </c>
      <c r="R129">
        <v>2</v>
      </c>
      <c r="S129">
        <v>14.52</v>
      </c>
      <c r="T129">
        <v>0</v>
      </c>
      <c r="U129">
        <v>0</v>
      </c>
      <c r="V129">
        <v>1</v>
      </c>
      <c r="W129">
        <v>0</v>
      </c>
    </row>
    <row r="130" spans="1:23" x14ac:dyDescent="0.3">
      <c r="A130" t="s">
        <v>7</v>
      </c>
      <c r="B130" t="s">
        <v>8</v>
      </c>
      <c r="C130" t="s">
        <v>16</v>
      </c>
      <c r="D130" t="s">
        <v>17</v>
      </c>
      <c r="E130">
        <v>2</v>
      </c>
      <c r="F130">
        <v>11.38</v>
      </c>
      <c r="G130">
        <v>2</v>
      </c>
      <c r="H130">
        <f t="shared" si="7"/>
        <v>0</v>
      </c>
      <c r="I130">
        <f t="shared" si="8"/>
        <v>0</v>
      </c>
      <c r="J130">
        <f t="shared" si="9"/>
        <v>1</v>
      </c>
      <c r="K130">
        <f t="shared" si="10"/>
        <v>0</v>
      </c>
      <c r="L130">
        <f t="shared" si="11"/>
        <v>2.5617999999999999</v>
      </c>
      <c r="M130">
        <f t="shared" si="12"/>
        <v>-0.56179999999999986</v>
      </c>
      <c r="N130">
        <f t="shared" si="13"/>
        <v>0.31561923999999986</v>
      </c>
      <c r="R130">
        <v>2</v>
      </c>
      <c r="S130">
        <v>11.38</v>
      </c>
      <c r="T130">
        <v>0</v>
      </c>
      <c r="U130">
        <v>0</v>
      </c>
      <c r="V130">
        <v>1</v>
      </c>
      <c r="W130">
        <v>0</v>
      </c>
    </row>
    <row r="131" spans="1:23" x14ac:dyDescent="0.3">
      <c r="A131" t="s">
        <v>11</v>
      </c>
      <c r="B131" t="s">
        <v>8</v>
      </c>
      <c r="C131" t="s">
        <v>16</v>
      </c>
      <c r="D131" t="s">
        <v>17</v>
      </c>
      <c r="E131">
        <v>3</v>
      </c>
      <c r="F131">
        <v>22.82</v>
      </c>
      <c r="G131">
        <v>2.1800000000000002</v>
      </c>
      <c r="H131">
        <f t="shared" ref="H131:H194" si="14">IF(A131="Male",1,0)</f>
        <v>1</v>
      </c>
      <c r="I131">
        <f t="shared" ref="I131:I194" si="15">IF(B131="Yes",1,0)</f>
        <v>0</v>
      </c>
      <c r="J131">
        <f t="shared" ref="J131:J194" si="16">IF(C131="Thur",1,IF(C131="Fri",2,IF(C131="Sat",3,4)))</f>
        <v>1</v>
      </c>
      <c r="K131">
        <f t="shared" ref="K131:K194" si="17">IF(D131="Dinner",1,0)</f>
        <v>0</v>
      </c>
      <c r="L131">
        <f t="shared" ref="L131:L194" si="18">0.92+(E131*0.18)+(F131*0.11)+(H131*0.14)+(I131*-0.2)+(J131*0.03)+(K131*0.08)</f>
        <v>4.1402000000000001</v>
      </c>
      <c r="M131">
        <f t="shared" ref="M131:M194" si="19">G131-L131</f>
        <v>-1.9601999999999999</v>
      </c>
      <c r="N131">
        <f t="shared" ref="N131:N194" si="20">(G131-L131)^2</f>
        <v>3.8423840399999998</v>
      </c>
      <c r="R131">
        <v>3</v>
      </c>
      <c r="S131">
        <v>22.82</v>
      </c>
      <c r="T131">
        <v>1</v>
      </c>
      <c r="U131">
        <v>0</v>
      </c>
      <c r="V131">
        <v>1</v>
      </c>
      <c r="W131">
        <v>0</v>
      </c>
    </row>
    <row r="132" spans="1:23" x14ac:dyDescent="0.3">
      <c r="A132" t="s">
        <v>11</v>
      </c>
      <c r="B132" t="s">
        <v>8</v>
      </c>
      <c r="C132" t="s">
        <v>16</v>
      </c>
      <c r="D132" t="s">
        <v>17</v>
      </c>
      <c r="E132">
        <v>2</v>
      </c>
      <c r="F132">
        <v>19.079999999999998</v>
      </c>
      <c r="G132">
        <v>1.5</v>
      </c>
      <c r="H132">
        <f t="shared" si="14"/>
        <v>1</v>
      </c>
      <c r="I132">
        <f t="shared" si="15"/>
        <v>0</v>
      </c>
      <c r="J132">
        <f t="shared" si="16"/>
        <v>1</v>
      </c>
      <c r="K132">
        <f t="shared" si="17"/>
        <v>0</v>
      </c>
      <c r="L132">
        <f t="shared" si="18"/>
        <v>3.5488</v>
      </c>
      <c r="M132">
        <f t="shared" si="19"/>
        <v>-2.0488</v>
      </c>
      <c r="N132">
        <f t="shared" si="20"/>
        <v>4.1975814399999996</v>
      </c>
      <c r="R132">
        <v>2</v>
      </c>
      <c r="S132">
        <v>19.079999999999998</v>
      </c>
      <c r="T132">
        <v>1</v>
      </c>
      <c r="U132">
        <v>0</v>
      </c>
      <c r="V132">
        <v>1</v>
      </c>
      <c r="W132">
        <v>0</v>
      </c>
    </row>
    <row r="133" spans="1:23" x14ac:dyDescent="0.3">
      <c r="A133" t="s">
        <v>7</v>
      </c>
      <c r="B133" t="s">
        <v>8</v>
      </c>
      <c r="C133" t="s">
        <v>16</v>
      </c>
      <c r="D133" t="s">
        <v>17</v>
      </c>
      <c r="E133">
        <v>2</v>
      </c>
      <c r="F133">
        <v>20.27</v>
      </c>
      <c r="G133">
        <v>2.83</v>
      </c>
      <c r="H133">
        <f t="shared" si="14"/>
        <v>0</v>
      </c>
      <c r="I133">
        <f t="shared" si="15"/>
        <v>0</v>
      </c>
      <c r="J133">
        <f t="shared" si="16"/>
        <v>1</v>
      </c>
      <c r="K133">
        <f t="shared" si="17"/>
        <v>0</v>
      </c>
      <c r="L133">
        <f t="shared" si="18"/>
        <v>3.5396999999999994</v>
      </c>
      <c r="M133">
        <f t="shared" si="19"/>
        <v>-0.70969999999999933</v>
      </c>
      <c r="N133">
        <f t="shared" si="20"/>
        <v>0.50367408999999908</v>
      </c>
      <c r="R133">
        <v>2</v>
      </c>
      <c r="S133">
        <v>20.27</v>
      </c>
      <c r="T133">
        <v>0</v>
      </c>
      <c r="U133">
        <v>0</v>
      </c>
      <c r="V133">
        <v>1</v>
      </c>
      <c r="W133">
        <v>0</v>
      </c>
    </row>
    <row r="134" spans="1:23" x14ac:dyDescent="0.3">
      <c r="A134" t="s">
        <v>7</v>
      </c>
      <c r="B134" t="s">
        <v>8</v>
      </c>
      <c r="C134" t="s">
        <v>16</v>
      </c>
      <c r="D134" t="s">
        <v>17</v>
      </c>
      <c r="E134">
        <v>2</v>
      </c>
      <c r="F134">
        <v>11.17</v>
      </c>
      <c r="G134">
        <v>1.5</v>
      </c>
      <c r="H134">
        <f t="shared" si="14"/>
        <v>0</v>
      </c>
      <c r="I134">
        <f t="shared" si="15"/>
        <v>0</v>
      </c>
      <c r="J134">
        <f t="shared" si="16"/>
        <v>1</v>
      </c>
      <c r="K134">
        <f t="shared" si="17"/>
        <v>0</v>
      </c>
      <c r="L134">
        <f t="shared" si="18"/>
        <v>2.5387</v>
      </c>
      <c r="M134">
        <f t="shared" si="19"/>
        <v>-1.0387</v>
      </c>
      <c r="N134">
        <f t="shared" si="20"/>
        <v>1.07889769</v>
      </c>
      <c r="R134">
        <v>2</v>
      </c>
      <c r="S134">
        <v>11.17</v>
      </c>
      <c r="T134">
        <v>0</v>
      </c>
      <c r="U134">
        <v>0</v>
      </c>
      <c r="V134">
        <v>1</v>
      </c>
      <c r="W134">
        <v>0</v>
      </c>
    </row>
    <row r="135" spans="1:23" x14ac:dyDescent="0.3">
      <c r="A135" t="s">
        <v>7</v>
      </c>
      <c r="B135" t="s">
        <v>8</v>
      </c>
      <c r="C135" t="s">
        <v>16</v>
      </c>
      <c r="D135" t="s">
        <v>17</v>
      </c>
      <c r="E135">
        <v>2</v>
      </c>
      <c r="F135">
        <v>12.26</v>
      </c>
      <c r="G135">
        <v>2</v>
      </c>
      <c r="H135">
        <f t="shared" si="14"/>
        <v>0</v>
      </c>
      <c r="I135">
        <f t="shared" si="15"/>
        <v>0</v>
      </c>
      <c r="J135">
        <f t="shared" si="16"/>
        <v>1</v>
      </c>
      <c r="K135">
        <f t="shared" si="17"/>
        <v>0</v>
      </c>
      <c r="L135">
        <f t="shared" si="18"/>
        <v>2.6585999999999999</v>
      </c>
      <c r="M135">
        <f t="shared" si="19"/>
        <v>-0.65859999999999985</v>
      </c>
      <c r="N135">
        <f t="shared" si="20"/>
        <v>0.43375395999999983</v>
      </c>
      <c r="R135">
        <v>2</v>
      </c>
      <c r="S135">
        <v>12.26</v>
      </c>
      <c r="T135">
        <v>0</v>
      </c>
      <c r="U135">
        <v>0</v>
      </c>
      <c r="V135">
        <v>1</v>
      </c>
      <c r="W135">
        <v>0</v>
      </c>
    </row>
    <row r="136" spans="1:23" x14ac:dyDescent="0.3">
      <c r="A136" t="s">
        <v>7</v>
      </c>
      <c r="B136" t="s">
        <v>8</v>
      </c>
      <c r="C136" t="s">
        <v>16</v>
      </c>
      <c r="D136" t="s">
        <v>17</v>
      </c>
      <c r="E136">
        <v>2</v>
      </c>
      <c r="F136">
        <v>18.260000000000002</v>
      </c>
      <c r="G136">
        <v>3.25</v>
      </c>
      <c r="H136">
        <f t="shared" si="14"/>
        <v>0</v>
      </c>
      <c r="I136">
        <f t="shared" si="15"/>
        <v>0</v>
      </c>
      <c r="J136">
        <f t="shared" si="16"/>
        <v>1</v>
      </c>
      <c r="K136">
        <f t="shared" si="17"/>
        <v>0</v>
      </c>
      <c r="L136">
        <f t="shared" si="18"/>
        <v>3.3186000000000004</v>
      </c>
      <c r="M136">
        <f t="shared" si="19"/>
        <v>-6.8600000000000438E-2</v>
      </c>
      <c r="N136">
        <f t="shared" si="20"/>
        <v>4.7059600000000602E-3</v>
      </c>
      <c r="R136">
        <v>2</v>
      </c>
      <c r="S136">
        <v>18.260000000000002</v>
      </c>
      <c r="T136">
        <v>0</v>
      </c>
      <c r="U136">
        <v>0</v>
      </c>
      <c r="V136">
        <v>1</v>
      </c>
      <c r="W136">
        <v>0</v>
      </c>
    </row>
    <row r="137" spans="1:23" x14ac:dyDescent="0.3">
      <c r="A137" t="s">
        <v>7</v>
      </c>
      <c r="B137" t="s">
        <v>8</v>
      </c>
      <c r="C137" t="s">
        <v>16</v>
      </c>
      <c r="D137" t="s">
        <v>17</v>
      </c>
      <c r="E137">
        <v>2</v>
      </c>
      <c r="F137">
        <v>8.51</v>
      </c>
      <c r="G137">
        <v>1.25</v>
      </c>
      <c r="H137">
        <f t="shared" si="14"/>
        <v>0</v>
      </c>
      <c r="I137">
        <f t="shared" si="15"/>
        <v>0</v>
      </c>
      <c r="J137">
        <f t="shared" si="16"/>
        <v>1</v>
      </c>
      <c r="K137">
        <f t="shared" si="17"/>
        <v>0</v>
      </c>
      <c r="L137">
        <f t="shared" si="18"/>
        <v>2.2460999999999998</v>
      </c>
      <c r="M137">
        <f t="shared" si="19"/>
        <v>-0.99609999999999976</v>
      </c>
      <c r="N137">
        <f t="shared" si="20"/>
        <v>0.99221520999999957</v>
      </c>
      <c r="R137">
        <v>2</v>
      </c>
      <c r="S137">
        <v>8.51</v>
      </c>
      <c r="T137">
        <v>0</v>
      </c>
      <c r="U137">
        <v>0</v>
      </c>
      <c r="V137">
        <v>1</v>
      </c>
      <c r="W137">
        <v>0</v>
      </c>
    </row>
    <row r="138" spans="1:23" x14ac:dyDescent="0.3">
      <c r="A138" t="s">
        <v>7</v>
      </c>
      <c r="B138" t="s">
        <v>8</v>
      </c>
      <c r="C138" t="s">
        <v>16</v>
      </c>
      <c r="D138" t="s">
        <v>17</v>
      </c>
      <c r="E138">
        <v>2</v>
      </c>
      <c r="F138">
        <v>10.33</v>
      </c>
      <c r="G138">
        <v>2</v>
      </c>
      <c r="H138">
        <f t="shared" si="14"/>
        <v>0</v>
      </c>
      <c r="I138">
        <f t="shared" si="15"/>
        <v>0</v>
      </c>
      <c r="J138">
        <f t="shared" si="16"/>
        <v>1</v>
      </c>
      <c r="K138">
        <f t="shared" si="17"/>
        <v>0</v>
      </c>
      <c r="L138">
        <f t="shared" si="18"/>
        <v>2.4462999999999999</v>
      </c>
      <c r="M138">
        <f t="shared" si="19"/>
        <v>-0.44629999999999992</v>
      </c>
      <c r="N138">
        <f t="shared" si="20"/>
        <v>0.19918368999999994</v>
      </c>
      <c r="R138">
        <v>2</v>
      </c>
      <c r="S138">
        <v>10.33</v>
      </c>
      <c r="T138">
        <v>0</v>
      </c>
      <c r="U138">
        <v>0</v>
      </c>
      <c r="V138">
        <v>1</v>
      </c>
      <c r="W138">
        <v>0</v>
      </c>
    </row>
    <row r="139" spans="1:23" x14ac:dyDescent="0.3">
      <c r="A139" t="s">
        <v>7</v>
      </c>
      <c r="B139" t="s">
        <v>8</v>
      </c>
      <c r="C139" t="s">
        <v>16</v>
      </c>
      <c r="D139" t="s">
        <v>17</v>
      </c>
      <c r="E139">
        <v>2</v>
      </c>
      <c r="F139">
        <v>14.15</v>
      </c>
      <c r="G139">
        <v>2</v>
      </c>
      <c r="H139">
        <f t="shared" si="14"/>
        <v>0</v>
      </c>
      <c r="I139">
        <f t="shared" si="15"/>
        <v>0</v>
      </c>
      <c r="J139">
        <f t="shared" si="16"/>
        <v>1</v>
      </c>
      <c r="K139">
        <f t="shared" si="17"/>
        <v>0</v>
      </c>
      <c r="L139">
        <f t="shared" si="18"/>
        <v>2.8664999999999998</v>
      </c>
      <c r="M139">
        <f t="shared" si="19"/>
        <v>-0.86649999999999983</v>
      </c>
      <c r="N139">
        <f t="shared" si="20"/>
        <v>0.75082224999999969</v>
      </c>
      <c r="R139">
        <v>2</v>
      </c>
      <c r="S139">
        <v>14.15</v>
      </c>
      <c r="T139">
        <v>0</v>
      </c>
      <c r="U139">
        <v>0</v>
      </c>
      <c r="V139">
        <v>1</v>
      </c>
      <c r="W139">
        <v>0</v>
      </c>
    </row>
    <row r="140" spans="1:23" x14ac:dyDescent="0.3">
      <c r="A140" t="s">
        <v>11</v>
      </c>
      <c r="B140" t="s">
        <v>15</v>
      </c>
      <c r="C140" t="s">
        <v>16</v>
      </c>
      <c r="D140" t="s">
        <v>17</v>
      </c>
      <c r="E140">
        <v>2</v>
      </c>
      <c r="F140">
        <v>16</v>
      </c>
      <c r="G140">
        <v>2</v>
      </c>
      <c r="H140">
        <f t="shared" si="14"/>
        <v>1</v>
      </c>
      <c r="I140">
        <f t="shared" si="15"/>
        <v>1</v>
      </c>
      <c r="J140">
        <f t="shared" si="16"/>
        <v>1</v>
      </c>
      <c r="K140">
        <f t="shared" si="17"/>
        <v>0</v>
      </c>
      <c r="L140">
        <f t="shared" si="18"/>
        <v>3.01</v>
      </c>
      <c r="M140">
        <f t="shared" si="19"/>
        <v>-1.0099999999999998</v>
      </c>
      <c r="N140">
        <f t="shared" si="20"/>
        <v>1.0200999999999996</v>
      </c>
      <c r="R140">
        <v>2</v>
      </c>
      <c r="S140">
        <v>16</v>
      </c>
      <c r="T140">
        <v>1</v>
      </c>
      <c r="U140">
        <v>1</v>
      </c>
      <c r="V140">
        <v>1</v>
      </c>
      <c r="W140">
        <v>0</v>
      </c>
    </row>
    <row r="141" spans="1:23" x14ac:dyDescent="0.3">
      <c r="A141" t="s">
        <v>7</v>
      </c>
      <c r="B141" t="s">
        <v>8</v>
      </c>
      <c r="C141" t="s">
        <v>16</v>
      </c>
      <c r="D141" t="s">
        <v>17</v>
      </c>
      <c r="E141">
        <v>2</v>
      </c>
      <c r="F141">
        <v>13.16</v>
      </c>
      <c r="G141">
        <v>2.75</v>
      </c>
      <c r="H141">
        <f t="shared" si="14"/>
        <v>0</v>
      </c>
      <c r="I141">
        <f t="shared" si="15"/>
        <v>0</v>
      </c>
      <c r="J141">
        <f t="shared" si="16"/>
        <v>1</v>
      </c>
      <c r="K141">
        <f t="shared" si="17"/>
        <v>0</v>
      </c>
      <c r="L141">
        <f t="shared" si="18"/>
        <v>2.7575999999999996</v>
      </c>
      <c r="M141">
        <f t="shared" si="19"/>
        <v>-7.5999999999996071E-3</v>
      </c>
      <c r="N141">
        <f t="shared" si="20"/>
        <v>5.7759999999994026E-5</v>
      </c>
      <c r="R141">
        <v>2</v>
      </c>
      <c r="S141">
        <v>13.16</v>
      </c>
      <c r="T141">
        <v>0</v>
      </c>
      <c r="U141">
        <v>0</v>
      </c>
      <c r="V141">
        <v>1</v>
      </c>
      <c r="W141">
        <v>0</v>
      </c>
    </row>
    <row r="142" spans="1:23" x14ac:dyDescent="0.3">
      <c r="A142" t="s">
        <v>7</v>
      </c>
      <c r="B142" t="s">
        <v>8</v>
      </c>
      <c r="C142" t="s">
        <v>16</v>
      </c>
      <c r="D142" t="s">
        <v>17</v>
      </c>
      <c r="E142">
        <v>2</v>
      </c>
      <c r="F142">
        <v>17.47</v>
      </c>
      <c r="G142">
        <v>3.5</v>
      </c>
      <c r="H142">
        <f t="shared" si="14"/>
        <v>0</v>
      </c>
      <c r="I142">
        <f t="shared" si="15"/>
        <v>0</v>
      </c>
      <c r="J142">
        <f t="shared" si="16"/>
        <v>1</v>
      </c>
      <c r="K142">
        <f t="shared" si="17"/>
        <v>0</v>
      </c>
      <c r="L142">
        <f t="shared" si="18"/>
        <v>3.2316999999999996</v>
      </c>
      <c r="M142">
        <f t="shared" si="19"/>
        <v>0.26830000000000043</v>
      </c>
      <c r="N142">
        <f t="shared" si="20"/>
        <v>7.1984890000000232E-2</v>
      </c>
      <c r="R142">
        <v>2</v>
      </c>
      <c r="S142">
        <v>17.47</v>
      </c>
      <c r="T142">
        <v>0</v>
      </c>
      <c r="U142">
        <v>0</v>
      </c>
      <c r="V142">
        <v>1</v>
      </c>
      <c r="W142">
        <v>0</v>
      </c>
    </row>
    <row r="143" spans="1:23" x14ac:dyDescent="0.3">
      <c r="A143" t="s">
        <v>11</v>
      </c>
      <c r="B143" t="s">
        <v>8</v>
      </c>
      <c r="C143" t="s">
        <v>16</v>
      </c>
      <c r="D143" t="s">
        <v>17</v>
      </c>
      <c r="E143">
        <v>6</v>
      </c>
      <c r="F143">
        <v>34.299999999999997</v>
      </c>
      <c r="G143">
        <v>6.7</v>
      </c>
      <c r="H143">
        <f t="shared" si="14"/>
        <v>1</v>
      </c>
      <c r="I143">
        <f t="shared" si="15"/>
        <v>0</v>
      </c>
      <c r="J143">
        <f t="shared" si="16"/>
        <v>1</v>
      </c>
      <c r="K143">
        <f t="shared" si="17"/>
        <v>0</v>
      </c>
      <c r="L143">
        <f t="shared" si="18"/>
        <v>5.9429999999999996</v>
      </c>
      <c r="M143">
        <f t="shared" si="19"/>
        <v>0.75700000000000056</v>
      </c>
      <c r="N143">
        <f t="shared" si="20"/>
        <v>0.57304900000000081</v>
      </c>
      <c r="R143">
        <v>6</v>
      </c>
      <c r="S143">
        <v>34.299999999999997</v>
      </c>
      <c r="T143">
        <v>1</v>
      </c>
      <c r="U143">
        <v>0</v>
      </c>
      <c r="V143">
        <v>1</v>
      </c>
      <c r="W143">
        <v>0</v>
      </c>
    </row>
    <row r="144" spans="1:23" x14ac:dyDescent="0.3">
      <c r="A144" t="s">
        <v>11</v>
      </c>
      <c r="B144" t="s">
        <v>8</v>
      </c>
      <c r="C144" t="s">
        <v>16</v>
      </c>
      <c r="D144" t="s">
        <v>17</v>
      </c>
      <c r="E144">
        <v>5</v>
      </c>
      <c r="F144">
        <v>41.19</v>
      </c>
      <c r="G144">
        <v>5</v>
      </c>
      <c r="H144">
        <f t="shared" si="14"/>
        <v>1</v>
      </c>
      <c r="I144">
        <f t="shared" si="15"/>
        <v>0</v>
      </c>
      <c r="J144">
        <f t="shared" si="16"/>
        <v>1</v>
      </c>
      <c r="K144">
        <f t="shared" si="17"/>
        <v>0</v>
      </c>
      <c r="L144">
        <f t="shared" si="18"/>
        <v>6.5208999999999993</v>
      </c>
      <c r="M144">
        <f t="shared" si="19"/>
        <v>-1.5208999999999993</v>
      </c>
      <c r="N144">
        <f t="shared" si="20"/>
        <v>2.3131368099999978</v>
      </c>
      <c r="R144">
        <v>5</v>
      </c>
      <c r="S144">
        <v>41.19</v>
      </c>
      <c r="T144">
        <v>1</v>
      </c>
      <c r="U144">
        <v>0</v>
      </c>
      <c r="V144">
        <v>1</v>
      </c>
      <c r="W144">
        <v>0</v>
      </c>
    </row>
    <row r="145" spans="1:23" x14ac:dyDescent="0.3">
      <c r="A145" t="s">
        <v>7</v>
      </c>
      <c r="B145" t="s">
        <v>8</v>
      </c>
      <c r="C145" t="s">
        <v>16</v>
      </c>
      <c r="D145" t="s">
        <v>17</v>
      </c>
      <c r="E145">
        <v>6</v>
      </c>
      <c r="F145">
        <v>27.05</v>
      </c>
      <c r="G145">
        <v>5</v>
      </c>
      <c r="H145">
        <f t="shared" si="14"/>
        <v>0</v>
      </c>
      <c r="I145">
        <f t="shared" si="15"/>
        <v>0</v>
      </c>
      <c r="J145">
        <f t="shared" si="16"/>
        <v>1</v>
      </c>
      <c r="K145">
        <f t="shared" si="17"/>
        <v>0</v>
      </c>
      <c r="L145">
        <f t="shared" si="18"/>
        <v>5.0055000000000005</v>
      </c>
      <c r="M145">
        <f t="shared" si="19"/>
        <v>-5.5000000000005045E-3</v>
      </c>
      <c r="N145">
        <f t="shared" si="20"/>
        <v>3.025000000000555E-5</v>
      </c>
      <c r="R145">
        <v>6</v>
      </c>
      <c r="S145">
        <v>27.05</v>
      </c>
      <c r="T145">
        <v>0</v>
      </c>
      <c r="U145">
        <v>0</v>
      </c>
      <c r="V145">
        <v>1</v>
      </c>
      <c r="W145">
        <v>0</v>
      </c>
    </row>
    <row r="146" spans="1:23" x14ac:dyDescent="0.3">
      <c r="A146" t="s">
        <v>7</v>
      </c>
      <c r="B146" t="s">
        <v>8</v>
      </c>
      <c r="C146" t="s">
        <v>16</v>
      </c>
      <c r="D146" t="s">
        <v>17</v>
      </c>
      <c r="E146">
        <v>2</v>
      </c>
      <c r="F146">
        <v>16.43</v>
      </c>
      <c r="G146">
        <v>2.2999999999999998</v>
      </c>
      <c r="H146">
        <f t="shared" si="14"/>
        <v>0</v>
      </c>
      <c r="I146">
        <f t="shared" si="15"/>
        <v>0</v>
      </c>
      <c r="J146">
        <f t="shared" si="16"/>
        <v>1</v>
      </c>
      <c r="K146">
        <f t="shared" si="17"/>
        <v>0</v>
      </c>
      <c r="L146">
        <f t="shared" si="18"/>
        <v>3.1172999999999997</v>
      </c>
      <c r="M146">
        <f t="shared" si="19"/>
        <v>-0.81729999999999992</v>
      </c>
      <c r="N146">
        <f t="shared" si="20"/>
        <v>0.66797928999999989</v>
      </c>
      <c r="R146">
        <v>2</v>
      </c>
      <c r="S146">
        <v>16.43</v>
      </c>
      <c r="T146">
        <v>0</v>
      </c>
      <c r="U146">
        <v>0</v>
      </c>
      <c r="V146">
        <v>1</v>
      </c>
      <c r="W146">
        <v>0</v>
      </c>
    </row>
    <row r="147" spans="1:23" x14ac:dyDescent="0.3">
      <c r="A147" t="s">
        <v>7</v>
      </c>
      <c r="B147" t="s">
        <v>8</v>
      </c>
      <c r="C147" t="s">
        <v>16</v>
      </c>
      <c r="D147" t="s">
        <v>17</v>
      </c>
      <c r="E147">
        <v>2</v>
      </c>
      <c r="F147">
        <v>8.35</v>
      </c>
      <c r="G147">
        <v>1.5</v>
      </c>
      <c r="H147">
        <f t="shared" si="14"/>
        <v>0</v>
      </c>
      <c r="I147">
        <f t="shared" si="15"/>
        <v>0</v>
      </c>
      <c r="J147">
        <f t="shared" si="16"/>
        <v>1</v>
      </c>
      <c r="K147">
        <f t="shared" si="17"/>
        <v>0</v>
      </c>
      <c r="L147">
        <f t="shared" si="18"/>
        <v>2.2284999999999999</v>
      </c>
      <c r="M147">
        <f t="shared" si="19"/>
        <v>-0.72849999999999993</v>
      </c>
      <c r="N147">
        <f t="shared" si="20"/>
        <v>0.53071224999999989</v>
      </c>
      <c r="R147">
        <v>2</v>
      </c>
      <c r="S147">
        <v>8.35</v>
      </c>
      <c r="T147">
        <v>0</v>
      </c>
      <c r="U147">
        <v>0</v>
      </c>
      <c r="V147">
        <v>1</v>
      </c>
      <c r="W147">
        <v>0</v>
      </c>
    </row>
    <row r="148" spans="1:23" x14ac:dyDescent="0.3">
      <c r="A148" t="s">
        <v>7</v>
      </c>
      <c r="B148" t="s">
        <v>8</v>
      </c>
      <c r="C148" t="s">
        <v>16</v>
      </c>
      <c r="D148" t="s">
        <v>17</v>
      </c>
      <c r="E148">
        <v>3</v>
      </c>
      <c r="F148">
        <v>18.64</v>
      </c>
      <c r="G148">
        <v>1.36</v>
      </c>
      <c r="H148">
        <f t="shared" si="14"/>
        <v>0</v>
      </c>
      <c r="I148">
        <f t="shared" si="15"/>
        <v>0</v>
      </c>
      <c r="J148">
        <f t="shared" si="16"/>
        <v>1</v>
      </c>
      <c r="K148">
        <f t="shared" si="17"/>
        <v>0</v>
      </c>
      <c r="L148">
        <f t="shared" si="18"/>
        <v>3.5404</v>
      </c>
      <c r="M148">
        <f t="shared" si="19"/>
        <v>-2.1803999999999997</v>
      </c>
      <c r="N148">
        <f t="shared" si="20"/>
        <v>4.7541441599999983</v>
      </c>
      <c r="R148">
        <v>3</v>
      </c>
      <c r="S148">
        <v>18.64</v>
      </c>
      <c r="T148">
        <v>0</v>
      </c>
      <c r="U148">
        <v>0</v>
      </c>
      <c r="V148">
        <v>1</v>
      </c>
      <c r="W148">
        <v>0</v>
      </c>
    </row>
    <row r="149" spans="1:23" x14ac:dyDescent="0.3">
      <c r="A149" t="s">
        <v>7</v>
      </c>
      <c r="B149" t="s">
        <v>8</v>
      </c>
      <c r="C149" t="s">
        <v>16</v>
      </c>
      <c r="D149" t="s">
        <v>17</v>
      </c>
      <c r="E149">
        <v>2</v>
      </c>
      <c r="F149">
        <v>11.87</v>
      </c>
      <c r="G149">
        <v>1.63</v>
      </c>
      <c r="H149">
        <f t="shared" si="14"/>
        <v>0</v>
      </c>
      <c r="I149">
        <f t="shared" si="15"/>
        <v>0</v>
      </c>
      <c r="J149">
        <f t="shared" si="16"/>
        <v>1</v>
      </c>
      <c r="K149">
        <f t="shared" si="17"/>
        <v>0</v>
      </c>
      <c r="L149">
        <f t="shared" si="18"/>
        <v>2.6156999999999999</v>
      </c>
      <c r="M149">
        <f t="shared" si="19"/>
        <v>-0.98570000000000002</v>
      </c>
      <c r="N149">
        <f t="shared" si="20"/>
        <v>0.97160449000000004</v>
      </c>
      <c r="R149">
        <v>2</v>
      </c>
      <c r="S149">
        <v>11.87</v>
      </c>
      <c r="T149">
        <v>0</v>
      </c>
      <c r="U149">
        <v>0</v>
      </c>
      <c r="V149">
        <v>1</v>
      </c>
      <c r="W149">
        <v>0</v>
      </c>
    </row>
    <row r="150" spans="1:23" x14ac:dyDescent="0.3">
      <c r="A150" t="s">
        <v>11</v>
      </c>
      <c r="B150" t="s">
        <v>8</v>
      </c>
      <c r="C150" t="s">
        <v>16</v>
      </c>
      <c r="D150" t="s">
        <v>17</v>
      </c>
      <c r="E150">
        <v>2</v>
      </c>
      <c r="F150">
        <v>9.7799999999999994</v>
      </c>
      <c r="G150">
        <v>1.73</v>
      </c>
      <c r="H150">
        <f t="shared" si="14"/>
        <v>1</v>
      </c>
      <c r="I150">
        <f t="shared" si="15"/>
        <v>0</v>
      </c>
      <c r="J150">
        <f t="shared" si="16"/>
        <v>1</v>
      </c>
      <c r="K150">
        <f t="shared" si="17"/>
        <v>0</v>
      </c>
      <c r="L150">
        <f t="shared" si="18"/>
        <v>2.5257999999999998</v>
      </c>
      <c r="M150">
        <f t="shared" si="19"/>
        <v>-0.79579999999999984</v>
      </c>
      <c r="N150">
        <f t="shared" si="20"/>
        <v>0.63329763999999977</v>
      </c>
      <c r="R150">
        <v>2</v>
      </c>
      <c r="S150">
        <v>9.7799999999999994</v>
      </c>
      <c r="T150">
        <v>1</v>
      </c>
      <c r="U150">
        <v>0</v>
      </c>
      <c r="V150">
        <v>1</v>
      </c>
      <c r="W150">
        <v>0</v>
      </c>
    </row>
    <row r="151" spans="1:23" x14ac:dyDescent="0.3">
      <c r="A151" t="s">
        <v>11</v>
      </c>
      <c r="B151" t="s">
        <v>8</v>
      </c>
      <c r="C151" t="s">
        <v>16</v>
      </c>
      <c r="D151" t="s">
        <v>17</v>
      </c>
      <c r="E151">
        <v>2</v>
      </c>
      <c r="F151">
        <v>7.51</v>
      </c>
      <c r="G151">
        <v>2</v>
      </c>
      <c r="H151">
        <f t="shared" si="14"/>
        <v>1</v>
      </c>
      <c r="I151">
        <f t="shared" si="15"/>
        <v>0</v>
      </c>
      <c r="J151">
        <f t="shared" si="16"/>
        <v>1</v>
      </c>
      <c r="K151">
        <f t="shared" si="17"/>
        <v>0</v>
      </c>
      <c r="L151">
        <f t="shared" si="18"/>
        <v>2.2761</v>
      </c>
      <c r="M151">
        <f t="shared" si="19"/>
        <v>-0.27610000000000001</v>
      </c>
      <c r="N151">
        <f t="shared" si="20"/>
        <v>7.6231210000000008E-2</v>
      </c>
      <c r="R151">
        <v>2</v>
      </c>
      <c r="S151">
        <v>7.51</v>
      </c>
      <c r="T151">
        <v>1</v>
      </c>
      <c r="U151">
        <v>0</v>
      </c>
      <c r="V151">
        <v>1</v>
      </c>
      <c r="W151">
        <v>0</v>
      </c>
    </row>
    <row r="152" spans="1:23" x14ac:dyDescent="0.3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  <c r="H152">
        <f t="shared" si="14"/>
        <v>1</v>
      </c>
      <c r="I152">
        <f t="shared" si="15"/>
        <v>0</v>
      </c>
      <c r="J152">
        <f t="shared" si="16"/>
        <v>4</v>
      </c>
      <c r="K152">
        <f t="shared" si="17"/>
        <v>1</v>
      </c>
      <c r="L152">
        <f t="shared" si="18"/>
        <v>3.1677000000000004</v>
      </c>
      <c r="M152">
        <f t="shared" si="19"/>
        <v>-0.6677000000000004</v>
      </c>
      <c r="N152">
        <f t="shared" si="20"/>
        <v>0.44582329000000054</v>
      </c>
      <c r="R152">
        <v>2</v>
      </c>
      <c r="S152">
        <v>14.07</v>
      </c>
      <c r="T152">
        <v>1</v>
      </c>
      <c r="U152">
        <v>0</v>
      </c>
      <c r="V152">
        <v>4</v>
      </c>
      <c r="W152">
        <v>1</v>
      </c>
    </row>
    <row r="153" spans="1:23" x14ac:dyDescent="0.3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  <c r="H153">
        <f t="shared" si="14"/>
        <v>1</v>
      </c>
      <c r="I153">
        <f t="shared" si="15"/>
        <v>0</v>
      </c>
      <c r="J153">
        <f t="shared" si="16"/>
        <v>4</v>
      </c>
      <c r="K153">
        <f t="shared" si="17"/>
        <v>1</v>
      </c>
      <c r="L153">
        <f t="shared" si="18"/>
        <v>3.0643000000000007</v>
      </c>
      <c r="M153">
        <f t="shared" si="19"/>
        <v>-1.0643000000000007</v>
      </c>
      <c r="N153">
        <f t="shared" si="20"/>
        <v>1.1327344900000014</v>
      </c>
      <c r="R153">
        <v>2</v>
      </c>
      <c r="S153">
        <v>13.13</v>
      </c>
      <c r="T153">
        <v>1</v>
      </c>
      <c r="U153">
        <v>0</v>
      </c>
      <c r="V153">
        <v>4</v>
      </c>
      <c r="W153">
        <v>1</v>
      </c>
    </row>
    <row r="154" spans="1:23" x14ac:dyDescent="0.3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  <c r="H154">
        <f t="shared" si="14"/>
        <v>1</v>
      </c>
      <c r="I154">
        <f t="shared" si="15"/>
        <v>0</v>
      </c>
      <c r="J154">
        <f t="shared" si="16"/>
        <v>4</v>
      </c>
      <c r="K154">
        <f t="shared" si="17"/>
        <v>1</v>
      </c>
      <c r="L154">
        <f t="shared" si="18"/>
        <v>3.6986000000000003</v>
      </c>
      <c r="M154">
        <f t="shared" si="19"/>
        <v>-0.95860000000000012</v>
      </c>
      <c r="N154">
        <f t="shared" si="20"/>
        <v>0.91891396000000025</v>
      </c>
      <c r="R154">
        <v>3</v>
      </c>
      <c r="S154">
        <v>17.260000000000002</v>
      </c>
      <c r="T154">
        <v>1</v>
      </c>
      <c r="U154">
        <v>0</v>
      </c>
      <c r="V154">
        <v>4</v>
      </c>
      <c r="W154">
        <v>1</v>
      </c>
    </row>
    <row r="155" spans="1:23" x14ac:dyDescent="0.3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  <c r="H155">
        <f t="shared" si="14"/>
        <v>1</v>
      </c>
      <c r="I155">
        <f t="shared" si="15"/>
        <v>0</v>
      </c>
      <c r="J155">
        <f t="shared" si="16"/>
        <v>4</v>
      </c>
      <c r="K155">
        <f t="shared" si="17"/>
        <v>1</v>
      </c>
      <c r="L155">
        <f t="shared" si="18"/>
        <v>4.6805000000000003</v>
      </c>
      <c r="M155">
        <f t="shared" si="19"/>
        <v>-2.6805000000000003</v>
      </c>
      <c r="N155">
        <f t="shared" si="20"/>
        <v>7.1850802500000022</v>
      </c>
      <c r="R155">
        <v>4</v>
      </c>
      <c r="S155">
        <v>24.55</v>
      </c>
      <c r="T155">
        <v>1</v>
      </c>
      <c r="U155">
        <v>0</v>
      </c>
      <c r="V155">
        <v>4</v>
      </c>
      <c r="W155">
        <v>1</v>
      </c>
    </row>
    <row r="156" spans="1:23" x14ac:dyDescent="0.3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  <c r="H156">
        <f t="shared" si="14"/>
        <v>1</v>
      </c>
      <c r="I156">
        <f t="shared" si="15"/>
        <v>0</v>
      </c>
      <c r="J156">
        <f t="shared" si="16"/>
        <v>4</v>
      </c>
      <c r="K156">
        <f t="shared" si="17"/>
        <v>1</v>
      </c>
      <c r="L156">
        <f t="shared" si="18"/>
        <v>4.1547000000000001</v>
      </c>
      <c r="M156">
        <f t="shared" si="19"/>
        <v>-2.1547000000000001</v>
      </c>
      <c r="N156">
        <f t="shared" si="20"/>
        <v>4.64273209</v>
      </c>
      <c r="R156">
        <v>4</v>
      </c>
      <c r="S156">
        <v>19.77</v>
      </c>
      <c r="T156">
        <v>1</v>
      </c>
      <c r="U156">
        <v>0</v>
      </c>
      <c r="V156">
        <v>4</v>
      </c>
      <c r="W156">
        <v>1</v>
      </c>
    </row>
    <row r="157" spans="1:23" x14ac:dyDescent="0.3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  <c r="H157">
        <f t="shared" si="14"/>
        <v>0</v>
      </c>
      <c r="I157">
        <f t="shared" si="15"/>
        <v>0</v>
      </c>
      <c r="J157">
        <f t="shared" si="16"/>
        <v>4</v>
      </c>
      <c r="K157">
        <f t="shared" si="17"/>
        <v>1</v>
      </c>
      <c r="L157">
        <f t="shared" si="18"/>
        <v>5.3035000000000005</v>
      </c>
      <c r="M157">
        <f t="shared" si="19"/>
        <v>-0.16350000000000087</v>
      </c>
      <c r="N157">
        <f t="shared" si="20"/>
        <v>2.6732250000000284E-2</v>
      </c>
      <c r="R157">
        <v>5</v>
      </c>
      <c r="S157">
        <v>29.85</v>
      </c>
      <c r="T157">
        <v>0</v>
      </c>
      <c r="U157">
        <v>0</v>
      </c>
      <c r="V157">
        <v>4</v>
      </c>
      <c r="W157">
        <v>1</v>
      </c>
    </row>
    <row r="158" spans="1:23" x14ac:dyDescent="0.3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  <c r="H158">
        <f t="shared" si="14"/>
        <v>1</v>
      </c>
      <c r="I158">
        <f t="shared" si="15"/>
        <v>0</v>
      </c>
      <c r="J158">
        <f t="shared" si="16"/>
        <v>4</v>
      </c>
      <c r="K158">
        <f t="shared" si="17"/>
        <v>1</v>
      </c>
      <c r="L158">
        <f t="shared" si="18"/>
        <v>7.6387</v>
      </c>
      <c r="M158">
        <f t="shared" si="19"/>
        <v>-2.6387</v>
      </c>
      <c r="N158">
        <f t="shared" si="20"/>
        <v>6.96273769</v>
      </c>
      <c r="R158">
        <v>6</v>
      </c>
      <c r="S158">
        <v>48.17</v>
      </c>
      <c r="T158">
        <v>1</v>
      </c>
      <c r="U158">
        <v>0</v>
      </c>
      <c r="V158">
        <v>4</v>
      </c>
      <c r="W158">
        <v>1</v>
      </c>
    </row>
    <row r="159" spans="1:23" x14ac:dyDescent="0.3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  <c r="H159">
        <f t="shared" si="14"/>
        <v>0</v>
      </c>
      <c r="I159">
        <f t="shared" si="15"/>
        <v>0</v>
      </c>
      <c r="J159">
        <f t="shared" si="16"/>
        <v>4</v>
      </c>
      <c r="K159">
        <f t="shared" si="17"/>
        <v>1</v>
      </c>
      <c r="L159">
        <f t="shared" si="18"/>
        <v>4.5900000000000007</v>
      </c>
      <c r="M159">
        <f t="shared" si="19"/>
        <v>-0.84000000000000075</v>
      </c>
      <c r="N159">
        <f t="shared" si="20"/>
        <v>0.70560000000000123</v>
      </c>
      <c r="R159">
        <v>4</v>
      </c>
      <c r="S159">
        <v>25</v>
      </c>
      <c r="T159">
        <v>0</v>
      </c>
      <c r="U159">
        <v>0</v>
      </c>
      <c r="V159">
        <v>4</v>
      </c>
      <c r="W159">
        <v>1</v>
      </c>
    </row>
    <row r="160" spans="1:23" x14ac:dyDescent="0.3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  <c r="H160">
        <f t="shared" si="14"/>
        <v>0</v>
      </c>
      <c r="I160">
        <f t="shared" si="15"/>
        <v>0</v>
      </c>
      <c r="J160">
        <f t="shared" si="16"/>
        <v>4</v>
      </c>
      <c r="K160">
        <f t="shared" si="17"/>
        <v>1</v>
      </c>
      <c r="L160">
        <f t="shared" si="18"/>
        <v>2.9529000000000005</v>
      </c>
      <c r="M160">
        <f t="shared" si="19"/>
        <v>-0.34290000000000065</v>
      </c>
      <c r="N160">
        <f t="shared" si="20"/>
        <v>0.11758041000000044</v>
      </c>
      <c r="R160">
        <v>2</v>
      </c>
      <c r="S160">
        <v>13.39</v>
      </c>
      <c r="T160">
        <v>0</v>
      </c>
      <c r="U160">
        <v>0</v>
      </c>
      <c r="V160">
        <v>4</v>
      </c>
      <c r="W160">
        <v>1</v>
      </c>
    </row>
    <row r="161" spans="1:23" x14ac:dyDescent="0.3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  <c r="H161">
        <f t="shared" si="14"/>
        <v>1</v>
      </c>
      <c r="I161">
        <f t="shared" si="15"/>
        <v>0</v>
      </c>
      <c r="J161">
        <f t="shared" si="16"/>
        <v>4</v>
      </c>
      <c r="K161">
        <f t="shared" si="17"/>
        <v>1</v>
      </c>
      <c r="L161">
        <f t="shared" si="18"/>
        <v>3.7939000000000003</v>
      </c>
      <c r="M161">
        <f t="shared" si="19"/>
        <v>-1.7939000000000003</v>
      </c>
      <c r="N161">
        <f t="shared" si="20"/>
        <v>3.218077210000001</v>
      </c>
      <c r="R161">
        <v>4</v>
      </c>
      <c r="S161">
        <v>16.489999999999998</v>
      </c>
      <c r="T161">
        <v>1</v>
      </c>
      <c r="U161">
        <v>0</v>
      </c>
      <c r="V161">
        <v>4</v>
      </c>
      <c r="W161">
        <v>1</v>
      </c>
    </row>
    <row r="162" spans="1:23" x14ac:dyDescent="0.3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  <c r="H162">
        <f t="shared" si="14"/>
        <v>1</v>
      </c>
      <c r="I162">
        <f t="shared" si="15"/>
        <v>0</v>
      </c>
      <c r="J162">
        <f t="shared" si="16"/>
        <v>4</v>
      </c>
      <c r="K162">
        <f t="shared" si="17"/>
        <v>1</v>
      </c>
      <c r="L162">
        <f t="shared" si="18"/>
        <v>4.3450000000000006</v>
      </c>
      <c r="M162">
        <f t="shared" si="19"/>
        <v>-0.84500000000000064</v>
      </c>
      <c r="N162">
        <f t="shared" si="20"/>
        <v>0.71402500000000113</v>
      </c>
      <c r="R162">
        <v>4</v>
      </c>
      <c r="S162">
        <v>21.5</v>
      </c>
      <c r="T162">
        <v>1</v>
      </c>
      <c r="U162">
        <v>0</v>
      </c>
      <c r="V162">
        <v>4</v>
      </c>
      <c r="W162">
        <v>1</v>
      </c>
    </row>
    <row r="163" spans="1:23" x14ac:dyDescent="0.3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  <c r="H163">
        <f t="shared" si="14"/>
        <v>1</v>
      </c>
      <c r="I163">
        <f t="shared" si="15"/>
        <v>0</v>
      </c>
      <c r="J163">
        <f t="shared" si="16"/>
        <v>4</v>
      </c>
      <c r="K163">
        <f t="shared" si="17"/>
        <v>1</v>
      </c>
      <c r="L163">
        <f t="shared" si="18"/>
        <v>3.0126000000000004</v>
      </c>
      <c r="M163">
        <f t="shared" si="19"/>
        <v>-0.51260000000000039</v>
      </c>
      <c r="N163">
        <f t="shared" si="20"/>
        <v>0.26275876000000042</v>
      </c>
      <c r="R163">
        <v>2</v>
      </c>
      <c r="S163">
        <v>12.66</v>
      </c>
      <c r="T163">
        <v>1</v>
      </c>
      <c r="U163">
        <v>0</v>
      </c>
      <c r="V163">
        <v>4</v>
      </c>
      <c r="W163">
        <v>1</v>
      </c>
    </row>
    <row r="164" spans="1:23" x14ac:dyDescent="0.3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  <c r="H164">
        <f t="shared" si="14"/>
        <v>0</v>
      </c>
      <c r="I164">
        <f t="shared" si="15"/>
        <v>0</v>
      </c>
      <c r="J164">
        <f t="shared" si="16"/>
        <v>4</v>
      </c>
      <c r="K164">
        <f t="shared" si="17"/>
        <v>1</v>
      </c>
      <c r="L164">
        <f t="shared" si="18"/>
        <v>3.4431000000000003</v>
      </c>
      <c r="M164">
        <f t="shared" si="19"/>
        <v>-1.4431000000000003</v>
      </c>
      <c r="N164">
        <f t="shared" si="20"/>
        <v>2.0825376100000006</v>
      </c>
      <c r="R164">
        <v>3</v>
      </c>
      <c r="S164">
        <v>16.21</v>
      </c>
      <c r="T164">
        <v>0</v>
      </c>
      <c r="U164">
        <v>0</v>
      </c>
      <c r="V164">
        <v>4</v>
      </c>
      <c r="W164">
        <v>1</v>
      </c>
    </row>
    <row r="165" spans="1:23" x14ac:dyDescent="0.3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  <c r="H165">
        <f t="shared" si="14"/>
        <v>1</v>
      </c>
      <c r="I165">
        <f t="shared" si="15"/>
        <v>0</v>
      </c>
      <c r="J165">
        <f t="shared" si="16"/>
        <v>4</v>
      </c>
      <c r="K165">
        <f t="shared" si="17"/>
        <v>1</v>
      </c>
      <c r="L165">
        <f t="shared" si="18"/>
        <v>3.1391000000000004</v>
      </c>
      <c r="M165">
        <f t="shared" si="19"/>
        <v>-1.1391000000000004</v>
      </c>
      <c r="N165">
        <f t="shared" si="20"/>
        <v>1.297548810000001</v>
      </c>
      <c r="R165">
        <v>2</v>
      </c>
      <c r="S165">
        <v>13.81</v>
      </c>
      <c r="T165">
        <v>1</v>
      </c>
      <c r="U165">
        <v>0</v>
      </c>
      <c r="V165">
        <v>4</v>
      </c>
      <c r="W165">
        <v>1</v>
      </c>
    </row>
    <row r="166" spans="1:23" x14ac:dyDescent="0.3">
      <c r="A166" t="s">
        <v>7</v>
      </c>
      <c r="B166" t="s">
        <v>15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  <c r="H166">
        <f t="shared" si="14"/>
        <v>0</v>
      </c>
      <c r="I166">
        <f t="shared" si="15"/>
        <v>1</v>
      </c>
      <c r="J166">
        <f t="shared" si="16"/>
        <v>4</v>
      </c>
      <c r="K166">
        <f t="shared" si="17"/>
        <v>1</v>
      </c>
      <c r="L166">
        <f t="shared" si="18"/>
        <v>3.2061000000000002</v>
      </c>
      <c r="M166">
        <f t="shared" si="19"/>
        <v>-0.20610000000000017</v>
      </c>
      <c r="N166">
        <f t="shared" si="20"/>
        <v>4.2477210000000071E-2</v>
      </c>
      <c r="R166">
        <v>2</v>
      </c>
      <c r="S166">
        <v>17.510000000000002</v>
      </c>
      <c r="T166">
        <v>0</v>
      </c>
      <c r="U166">
        <v>1</v>
      </c>
      <c r="V166">
        <v>4</v>
      </c>
      <c r="W166">
        <v>1</v>
      </c>
    </row>
    <row r="167" spans="1:23" x14ac:dyDescent="0.3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  <c r="H167">
        <f t="shared" si="14"/>
        <v>1</v>
      </c>
      <c r="I167">
        <f t="shared" si="15"/>
        <v>0</v>
      </c>
      <c r="J167">
        <f t="shared" si="16"/>
        <v>4</v>
      </c>
      <c r="K167">
        <f t="shared" si="17"/>
        <v>1</v>
      </c>
      <c r="L167">
        <f t="shared" si="18"/>
        <v>4.4971999999999994</v>
      </c>
      <c r="M167">
        <f t="shared" si="19"/>
        <v>-1.0171999999999994</v>
      </c>
      <c r="N167">
        <f t="shared" si="20"/>
        <v>1.0346958399999988</v>
      </c>
      <c r="R167">
        <v>3</v>
      </c>
      <c r="S167">
        <v>24.52</v>
      </c>
      <c r="T167">
        <v>1</v>
      </c>
      <c r="U167">
        <v>0</v>
      </c>
      <c r="V167">
        <v>4</v>
      </c>
      <c r="W167">
        <v>1</v>
      </c>
    </row>
    <row r="168" spans="1:23" x14ac:dyDescent="0.3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  <c r="H168">
        <f t="shared" si="14"/>
        <v>1</v>
      </c>
      <c r="I168">
        <f t="shared" si="15"/>
        <v>0</v>
      </c>
      <c r="J168">
        <f t="shared" si="16"/>
        <v>4</v>
      </c>
      <c r="K168">
        <f t="shared" si="17"/>
        <v>1</v>
      </c>
      <c r="L168">
        <f t="shared" si="18"/>
        <v>3.9036000000000004</v>
      </c>
      <c r="M168">
        <f t="shared" si="19"/>
        <v>-1.6636000000000002</v>
      </c>
      <c r="N168">
        <f t="shared" si="20"/>
        <v>2.7675649600000005</v>
      </c>
      <c r="R168">
        <v>2</v>
      </c>
      <c r="S168">
        <v>20.76</v>
      </c>
      <c r="T168">
        <v>1</v>
      </c>
      <c r="U168">
        <v>0</v>
      </c>
      <c r="V168">
        <v>4</v>
      </c>
      <c r="W168">
        <v>1</v>
      </c>
    </row>
    <row r="169" spans="1:23" x14ac:dyDescent="0.3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  <c r="H169">
        <f t="shared" si="14"/>
        <v>1</v>
      </c>
      <c r="I169">
        <f t="shared" si="15"/>
        <v>0</v>
      </c>
      <c r="J169">
        <f t="shared" si="16"/>
        <v>4</v>
      </c>
      <c r="K169">
        <f t="shared" si="17"/>
        <v>1</v>
      </c>
      <c r="L169">
        <f t="shared" si="18"/>
        <v>5.4680999999999997</v>
      </c>
      <c r="M169">
        <f t="shared" si="19"/>
        <v>-0.96809999999999974</v>
      </c>
      <c r="N169">
        <f t="shared" si="20"/>
        <v>0.93721760999999948</v>
      </c>
      <c r="R169">
        <v>4</v>
      </c>
      <c r="S169">
        <v>31.71</v>
      </c>
      <c r="T169">
        <v>1</v>
      </c>
      <c r="U169">
        <v>0</v>
      </c>
      <c r="V169">
        <v>4</v>
      </c>
      <c r="W169">
        <v>1</v>
      </c>
    </row>
    <row r="170" spans="1:23" x14ac:dyDescent="0.3">
      <c r="A170" t="s">
        <v>7</v>
      </c>
      <c r="B170" t="s">
        <v>15</v>
      </c>
      <c r="C170" t="s">
        <v>14</v>
      </c>
      <c r="D170" t="s">
        <v>10</v>
      </c>
      <c r="E170">
        <v>2</v>
      </c>
      <c r="F170">
        <v>10.59</v>
      </c>
      <c r="G170">
        <v>1.61</v>
      </c>
      <c r="H170">
        <f t="shared" si="14"/>
        <v>0</v>
      </c>
      <c r="I170">
        <f t="shared" si="15"/>
        <v>1</v>
      </c>
      <c r="J170">
        <f t="shared" si="16"/>
        <v>3</v>
      </c>
      <c r="K170">
        <f t="shared" si="17"/>
        <v>1</v>
      </c>
      <c r="L170">
        <f t="shared" si="18"/>
        <v>2.4148999999999998</v>
      </c>
      <c r="M170">
        <f t="shared" si="19"/>
        <v>-0.80489999999999973</v>
      </c>
      <c r="N170">
        <f t="shared" si="20"/>
        <v>0.6478640099999996</v>
      </c>
      <c r="R170">
        <v>2</v>
      </c>
      <c r="S170">
        <v>10.59</v>
      </c>
      <c r="T170">
        <v>0</v>
      </c>
      <c r="U170">
        <v>1</v>
      </c>
      <c r="V170">
        <v>3</v>
      </c>
      <c r="W170">
        <v>1</v>
      </c>
    </row>
    <row r="171" spans="1:23" x14ac:dyDescent="0.3">
      <c r="A171" t="s">
        <v>7</v>
      </c>
      <c r="B171" t="s">
        <v>15</v>
      </c>
      <c r="C171" t="s">
        <v>14</v>
      </c>
      <c r="D171" t="s">
        <v>10</v>
      </c>
      <c r="E171">
        <v>2</v>
      </c>
      <c r="F171">
        <v>10.63</v>
      </c>
      <c r="G171">
        <v>2</v>
      </c>
      <c r="H171">
        <f t="shared" si="14"/>
        <v>0</v>
      </c>
      <c r="I171">
        <f t="shared" si="15"/>
        <v>1</v>
      </c>
      <c r="J171">
        <f t="shared" si="16"/>
        <v>3</v>
      </c>
      <c r="K171">
        <f t="shared" si="17"/>
        <v>1</v>
      </c>
      <c r="L171">
        <f t="shared" si="18"/>
        <v>2.4192999999999998</v>
      </c>
      <c r="M171">
        <f t="shared" si="19"/>
        <v>-0.41929999999999978</v>
      </c>
      <c r="N171">
        <f t="shared" si="20"/>
        <v>0.17581248999999982</v>
      </c>
      <c r="R171">
        <v>2</v>
      </c>
      <c r="S171">
        <v>10.63</v>
      </c>
      <c r="T171">
        <v>0</v>
      </c>
      <c r="U171">
        <v>1</v>
      </c>
      <c r="V171">
        <v>3</v>
      </c>
      <c r="W171">
        <v>1</v>
      </c>
    </row>
    <row r="172" spans="1:23" x14ac:dyDescent="0.3">
      <c r="A172" t="s">
        <v>11</v>
      </c>
      <c r="B172" t="s">
        <v>15</v>
      </c>
      <c r="C172" t="s">
        <v>14</v>
      </c>
      <c r="D172" t="s">
        <v>10</v>
      </c>
      <c r="E172">
        <v>3</v>
      </c>
      <c r="F172">
        <v>50.81</v>
      </c>
      <c r="G172">
        <v>10</v>
      </c>
      <c r="H172">
        <f t="shared" si="14"/>
        <v>1</v>
      </c>
      <c r="I172">
        <f t="shared" si="15"/>
        <v>1</v>
      </c>
      <c r="J172">
        <f t="shared" si="16"/>
        <v>3</v>
      </c>
      <c r="K172">
        <f t="shared" si="17"/>
        <v>1</v>
      </c>
      <c r="L172">
        <f t="shared" si="18"/>
        <v>7.1590999999999996</v>
      </c>
      <c r="M172">
        <f t="shared" si="19"/>
        <v>2.8409000000000004</v>
      </c>
      <c r="N172">
        <f t="shared" si="20"/>
        <v>8.0707128100000016</v>
      </c>
      <c r="R172">
        <v>3</v>
      </c>
      <c r="S172">
        <v>50.81</v>
      </c>
      <c r="T172">
        <v>1</v>
      </c>
      <c r="U172">
        <v>1</v>
      </c>
      <c r="V172">
        <v>3</v>
      </c>
      <c r="W172">
        <v>1</v>
      </c>
    </row>
    <row r="173" spans="1:23" x14ac:dyDescent="0.3">
      <c r="A173" t="s">
        <v>11</v>
      </c>
      <c r="B173" t="s">
        <v>15</v>
      </c>
      <c r="C173" t="s">
        <v>14</v>
      </c>
      <c r="D173" t="s">
        <v>10</v>
      </c>
      <c r="E173">
        <v>2</v>
      </c>
      <c r="F173">
        <v>15.81</v>
      </c>
      <c r="G173">
        <v>3.16</v>
      </c>
      <c r="H173">
        <f t="shared" si="14"/>
        <v>1</v>
      </c>
      <c r="I173">
        <f t="shared" si="15"/>
        <v>1</v>
      </c>
      <c r="J173">
        <f t="shared" si="16"/>
        <v>3</v>
      </c>
      <c r="K173">
        <f t="shared" si="17"/>
        <v>1</v>
      </c>
      <c r="L173">
        <f t="shared" si="18"/>
        <v>3.1290999999999998</v>
      </c>
      <c r="M173">
        <f t="shared" si="19"/>
        <v>3.0900000000000372E-2</v>
      </c>
      <c r="N173">
        <f t="shared" si="20"/>
        <v>9.5481000000002293E-4</v>
      </c>
      <c r="R173">
        <v>2</v>
      </c>
      <c r="S173">
        <v>15.81</v>
      </c>
      <c r="T173">
        <v>1</v>
      </c>
      <c r="U173">
        <v>1</v>
      </c>
      <c r="V173">
        <v>3</v>
      </c>
      <c r="W173">
        <v>1</v>
      </c>
    </row>
    <row r="174" spans="1:23" x14ac:dyDescent="0.3">
      <c r="A174" t="s">
        <v>11</v>
      </c>
      <c r="B174" t="s">
        <v>15</v>
      </c>
      <c r="C174" t="s">
        <v>9</v>
      </c>
      <c r="D174" t="s">
        <v>10</v>
      </c>
      <c r="E174">
        <v>2</v>
      </c>
      <c r="F174">
        <v>7.25</v>
      </c>
      <c r="G174">
        <v>5.15</v>
      </c>
      <c r="H174">
        <f t="shared" si="14"/>
        <v>1</v>
      </c>
      <c r="I174">
        <f t="shared" si="15"/>
        <v>1</v>
      </c>
      <c r="J174">
        <f t="shared" si="16"/>
        <v>4</v>
      </c>
      <c r="K174">
        <f t="shared" si="17"/>
        <v>1</v>
      </c>
      <c r="L174">
        <f t="shared" si="18"/>
        <v>2.2175000000000002</v>
      </c>
      <c r="M174">
        <f t="shared" si="19"/>
        <v>2.9325000000000001</v>
      </c>
      <c r="N174">
        <f t="shared" si="20"/>
        <v>8.5995562500000009</v>
      </c>
      <c r="R174">
        <v>2</v>
      </c>
      <c r="S174">
        <v>7.25</v>
      </c>
      <c r="T174">
        <v>1</v>
      </c>
      <c r="U174">
        <v>1</v>
      </c>
      <c r="V174">
        <v>4</v>
      </c>
      <c r="W174">
        <v>1</v>
      </c>
    </row>
    <row r="175" spans="1:23" x14ac:dyDescent="0.3">
      <c r="A175" t="s">
        <v>11</v>
      </c>
      <c r="B175" t="s">
        <v>15</v>
      </c>
      <c r="C175" t="s">
        <v>9</v>
      </c>
      <c r="D175" t="s">
        <v>10</v>
      </c>
      <c r="E175">
        <v>2</v>
      </c>
      <c r="F175">
        <v>31.85</v>
      </c>
      <c r="G175">
        <v>3.18</v>
      </c>
      <c r="H175">
        <f t="shared" si="14"/>
        <v>1</v>
      </c>
      <c r="I175">
        <f t="shared" si="15"/>
        <v>1</v>
      </c>
      <c r="J175">
        <f t="shared" si="16"/>
        <v>4</v>
      </c>
      <c r="K175">
        <f t="shared" si="17"/>
        <v>1</v>
      </c>
      <c r="L175">
        <f t="shared" si="18"/>
        <v>4.9234999999999998</v>
      </c>
      <c r="M175">
        <f t="shared" si="19"/>
        <v>-1.7434999999999996</v>
      </c>
      <c r="N175">
        <f t="shared" si="20"/>
        <v>3.0397922499999988</v>
      </c>
      <c r="R175">
        <v>2</v>
      </c>
      <c r="S175">
        <v>31.85</v>
      </c>
      <c r="T175">
        <v>1</v>
      </c>
      <c r="U175">
        <v>1</v>
      </c>
      <c r="V175">
        <v>4</v>
      </c>
      <c r="W175">
        <v>1</v>
      </c>
    </row>
    <row r="176" spans="1:23" x14ac:dyDescent="0.3">
      <c r="A176" t="s">
        <v>11</v>
      </c>
      <c r="B176" t="s">
        <v>15</v>
      </c>
      <c r="C176" t="s">
        <v>9</v>
      </c>
      <c r="D176" t="s">
        <v>10</v>
      </c>
      <c r="E176">
        <v>2</v>
      </c>
      <c r="F176">
        <v>16.82</v>
      </c>
      <c r="G176">
        <v>4</v>
      </c>
      <c r="H176">
        <f t="shared" si="14"/>
        <v>1</v>
      </c>
      <c r="I176">
        <f t="shared" si="15"/>
        <v>1</v>
      </c>
      <c r="J176">
        <f t="shared" si="16"/>
        <v>4</v>
      </c>
      <c r="K176">
        <f t="shared" si="17"/>
        <v>1</v>
      </c>
      <c r="L176">
        <f t="shared" si="18"/>
        <v>3.2702000000000004</v>
      </c>
      <c r="M176">
        <f t="shared" si="19"/>
        <v>0.72979999999999956</v>
      </c>
      <c r="N176">
        <f t="shared" si="20"/>
        <v>0.53260803999999939</v>
      </c>
      <c r="R176">
        <v>2</v>
      </c>
      <c r="S176">
        <v>16.82</v>
      </c>
      <c r="T176">
        <v>1</v>
      </c>
      <c r="U176">
        <v>1</v>
      </c>
      <c r="V176">
        <v>4</v>
      </c>
      <c r="W176">
        <v>1</v>
      </c>
    </row>
    <row r="177" spans="1:23" x14ac:dyDescent="0.3">
      <c r="A177" t="s">
        <v>11</v>
      </c>
      <c r="B177" t="s">
        <v>15</v>
      </c>
      <c r="C177" t="s">
        <v>9</v>
      </c>
      <c r="D177" t="s">
        <v>10</v>
      </c>
      <c r="E177">
        <v>2</v>
      </c>
      <c r="F177">
        <v>32.9</v>
      </c>
      <c r="G177">
        <v>3.11</v>
      </c>
      <c r="H177">
        <f t="shared" si="14"/>
        <v>1</v>
      </c>
      <c r="I177">
        <f t="shared" si="15"/>
        <v>1</v>
      </c>
      <c r="J177">
        <f t="shared" si="16"/>
        <v>4</v>
      </c>
      <c r="K177">
        <f t="shared" si="17"/>
        <v>1</v>
      </c>
      <c r="L177">
        <f t="shared" si="18"/>
        <v>5.0389999999999997</v>
      </c>
      <c r="M177">
        <f t="shared" si="19"/>
        <v>-1.9289999999999998</v>
      </c>
      <c r="N177">
        <f t="shared" si="20"/>
        <v>3.7210409999999992</v>
      </c>
      <c r="R177">
        <v>2</v>
      </c>
      <c r="S177">
        <v>32.9</v>
      </c>
      <c r="T177">
        <v>1</v>
      </c>
      <c r="U177">
        <v>1</v>
      </c>
      <c r="V177">
        <v>4</v>
      </c>
      <c r="W177">
        <v>1</v>
      </c>
    </row>
    <row r="178" spans="1:23" x14ac:dyDescent="0.3">
      <c r="A178" t="s">
        <v>11</v>
      </c>
      <c r="B178" t="s">
        <v>15</v>
      </c>
      <c r="C178" t="s">
        <v>9</v>
      </c>
      <c r="D178" t="s">
        <v>10</v>
      </c>
      <c r="E178">
        <v>2</v>
      </c>
      <c r="F178">
        <v>17.89</v>
      </c>
      <c r="G178">
        <v>2</v>
      </c>
      <c r="H178">
        <f t="shared" si="14"/>
        <v>1</v>
      </c>
      <c r="I178">
        <f t="shared" si="15"/>
        <v>1</v>
      </c>
      <c r="J178">
        <f t="shared" si="16"/>
        <v>4</v>
      </c>
      <c r="K178">
        <f t="shared" si="17"/>
        <v>1</v>
      </c>
      <c r="L178">
        <f t="shared" si="18"/>
        <v>3.3879000000000001</v>
      </c>
      <c r="M178">
        <f t="shared" si="19"/>
        <v>-1.3879000000000001</v>
      </c>
      <c r="N178">
        <f t="shared" si="20"/>
        <v>1.9262664100000004</v>
      </c>
      <c r="R178">
        <v>2</v>
      </c>
      <c r="S178">
        <v>17.89</v>
      </c>
      <c r="T178">
        <v>1</v>
      </c>
      <c r="U178">
        <v>1</v>
      </c>
      <c r="V178">
        <v>4</v>
      </c>
      <c r="W178">
        <v>1</v>
      </c>
    </row>
    <row r="179" spans="1:23" x14ac:dyDescent="0.3">
      <c r="A179" t="s">
        <v>11</v>
      </c>
      <c r="B179" t="s">
        <v>15</v>
      </c>
      <c r="C179" t="s">
        <v>9</v>
      </c>
      <c r="D179" t="s">
        <v>10</v>
      </c>
      <c r="E179">
        <v>2</v>
      </c>
      <c r="F179">
        <v>14.48</v>
      </c>
      <c r="G179">
        <v>2</v>
      </c>
      <c r="H179">
        <f t="shared" si="14"/>
        <v>1</v>
      </c>
      <c r="I179">
        <f t="shared" si="15"/>
        <v>1</v>
      </c>
      <c r="J179">
        <f t="shared" si="16"/>
        <v>4</v>
      </c>
      <c r="K179">
        <f t="shared" si="17"/>
        <v>1</v>
      </c>
      <c r="L179">
        <f t="shared" si="18"/>
        <v>3.0127999999999999</v>
      </c>
      <c r="M179">
        <f t="shared" si="19"/>
        <v>-1.0127999999999999</v>
      </c>
      <c r="N179">
        <f t="shared" si="20"/>
        <v>1.0257638399999998</v>
      </c>
      <c r="R179">
        <v>2</v>
      </c>
      <c r="S179">
        <v>14.48</v>
      </c>
      <c r="T179">
        <v>1</v>
      </c>
      <c r="U179">
        <v>1</v>
      </c>
      <c r="V179">
        <v>4</v>
      </c>
      <c r="W179">
        <v>1</v>
      </c>
    </row>
    <row r="180" spans="1:23" x14ac:dyDescent="0.3">
      <c r="A180" t="s">
        <v>7</v>
      </c>
      <c r="B180" t="s">
        <v>15</v>
      </c>
      <c r="C180" t="s">
        <v>9</v>
      </c>
      <c r="D180" t="s">
        <v>10</v>
      </c>
      <c r="E180">
        <v>2</v>
      </c>
      <c r="F180">
        <v>9.6</v>
      </c>
      <c r="G180">
        <v>4</v>
      </c>
      <c r="H180">
        <f t="shared" si="14"/>
        <v>0</v>
      </c>
      <c r="I180">
        <f t="shared" si="15"/>
        <v>1</v>
      </c>
      <c r="J180">
        <f t="shared" si="16"/>
        <v>4</v>
      </c>
      <c r="K180">
        <f t="shared" si="17"/>
        <v>1</v>
      </c>
      <c r="L180">
        <f t="shared" si="18"/>
        <v>2.3360000000000003</v>
      </c>
      <c r="M180">
        <f t="shared" si="19"/>
        <v>1.6639999999999997</v>
      </c>
      <c r="N180">
        <f t="shared" si="20"/>
        <v>2.7688959999999989</v>
      </c>
      <c r="R180">
        <v>2</v>
      </c>
      <c r="S180">
        <v>9.6</v>
      </c>
      <c r="T180">
        <v>0</v>
      </c>
      <c r="U180">
        <v>1</v>
      </c>
      <c r="V180">
        <v>4</v>
      </c>
      <c r="W180">
        <v>1</v>
      </c>
    </row>
    <row r="181" spans="1:23" x14ac:dyDescent="0.3">
      <c r="A181" t="s">
        <v>11</v>
      </c>
      <c r="B181" t="s">
        <v>15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  <c r="H181">
        <f t="shared" si="14"/>
        <v>1</v>
      </c>
      <c r="I181">
        <f t="shared" si="15"/>
        <v>1</v>
      </c>
      <c r="J181">
        <f t="shared" si="16"/>
        <v>4</v>
      </c>
      <c r="K181">
        <f t="shared" si="17"/>
        <v>1</v>
      </c>
      <c r="L181">
        <f t="shared" si="18"/>
        <v>5.2293000000000003</v>
      </c>
      <c r="M181">
        <f t="shared" si="19"/>
        <v>-1.6793000000000005</v>
      </c>
      <c r="N181">
        <f t="shared" si="20"/>
        <v>2.8200484900000014</v>
      </c>
      <c r="R181">
        <v>2</v>
      </c>
      <c r="S181">
        <v>34.630000000000003</v>
      </c>
      <c r="T181">
        <v>1</v>
      </c>
      <c r="U181">
        <v>1</v>
      </c>
      <c r="V181">
        <v>4</v>
      </c>
      <c r="W181">
        <v>1</v>
      </c>
    </row>
    <row r="182" spans="1:23" x14ac:dyDescent="0.3">
      <c r="A182" t="s">
        <v>11</v>
      </c>
      <c r="B182" t="s">
        <v>15</v>
      </c>
      <c r="C182" t="s">
        <v>9</v>
      </c>
      <c r="D182" t="s">
        <v>10</v>
      </c>
      <c r="E182">
        <v>4</v>
      </c>
      <c r="F182">
        <v>34.65</v>
      </c>
      <c r="G182">
        <v>3.68</v>
      </c>
      <c r="H182">
        <f t="shared" si="14"/>
        <v>1</v>
      </c>
      <c r="I182">
        <f t="shared" si="15"/>
        <v>1</v>
      </c>
      <c r="J182">
        <f t="shared" si="16"/>
        <v>4</v>
      </c>
      <c r="K182">
        <f t="shared" si="17"/>
        <v>1</v>
      </c>
      <c r="L182">
        <f t="shared" si="18"/>
        <v>5.591499999999999</v>
      </c>
      <c r="M182">
        <f t="shared" si="19"/>
        <v>-1.9114999999999989</v>
      </c>
      <c r="N182">
        <f t="shared" si="20"/>
        <v>3.6538322499999958</v>
      </c>
      <c r="R182">
        <v>4</v>
      </c>
      <c r="S182">
        <v>34.65</v>
      </c>
      <c r="T182">
        <v>1</v>
      </c>
      <c r="U182">
        <v>1</v>
      </c>
      <c r="V182">
        <v>4</v>
      </c>
      <c r="W182">
        <v>1</v>
      </c>
    </row>
    <row r="183" spans="1:23" x14ac:dyDescent="0.3">
      <c r="A183" t="s">
        <v>11</v>
      </c>
      <c r="B183" t="s">
        <v>15</v>
      </c>
      <c r="C183" t="s">
        <v>9</v>
      </c>
      <c r="D183" t="s">
        <v>10</v>
      </c>
      <c r="E183">
        <v>2</v>
      </c>
      <c r="F183">
        <v>23.33</v>
      </c>
      <c r="G183">
        <v>5.65</v>
      </c>
      <c r="H183">
        <f t="shared" si="14"/>
        <v>1</v>
      </c>
      <c r="I183">
        <f t="shared" si="15"/>
        <v>1</v>
      </c>
      <c r="J183">
        <f t="shared" si="16"/>
        <v>4</v>
      </c>
      <c r="K183">
        <f t="shared" si="17"/>
        <v>1</v>
      </c>
      <c r="L183">
        <f t="shared" si="18"/>
        <v>3.9863000000000004</v>
      </c>
      <c r="M183">
        <f t="shared" si="19"/>
        <v>1.6637</v>
      </c>
      <c r="N183">
        <f t="shared" si="20"/>
        <v>2.7678976899999999</v>
      </c>
      <c r="R183">
        <v>2</v>
      </c>
      <c r="S183">
        <v>23.33</v>
      </c>
      <c r="T183">
        <v>1</v>
      </c>
      <c r="U183">
        <v>1</v>
      </c>
      <c r="V183">
        <v>4</v>
      </c>
      <c r="W183">
        <v>1</v>
      </c>
    </row>
    <row r="184" spans="1:23" x14ac:dyDescent="0.3">
      <c r="A184" t="s">
        <v>11</v>
      </c>
      <c r="B184" t="s">
        <v>15</v>
      </c>
      <c r="C184" t="s">
        <v>9</v>
      </c>
      <c r="D184" t="s">
        <v>10</v>
      </c>
      <c r="E184">
        <v>3</v>
      </c>
      <c r="F184">
        <v>45.35</v>
      </c>
      <c r="G184">
        <v>3.5</v>
      </c>
      <c r="H184">
        <f t="shared" si="14"/>
        <v>1</v>
      </c>
      <c r="I184">
        <f t="shared" si="15"/>
        <v>1</v>
      </c>
      <c r="J184">
        <f t="shared" si="16"/>
        <v>4</v>
      </c>
      <c r="K184">
        <f t="shared" si="17"/>
        <v>1</v>
      </c>
      <c r="L184">
        <f t="shared" si="18"/>
        <v>6.5884999999999998</v>
      </c>
      <c r="M184">
        <f t="shared" si="19"/>
        <v>-3.0884999999999998</v>
      </c>
      <c r="N184">
        <f t="shared" si="20"/>
        <v>9.5388322499999987</v>
      </c>
      <c r="R184">
        <v>3</v>
      </c>
      <c r="S184">
        <v>45.35</v>
      </c>
      <c r="T184">
        <v>1</v>
      </c>
      <c r="U184">
        <v>1</v>
      </c>
      <c r="V184">
        <v>4</v>
      </c>
      <c r="W184">
        <v>1</v>
      </c>
    </row>
    <row r="185" spans="1:23" x14ac:dyDescent="0.3">
      <c r="A185" t="s">
        <v>11</v>
      </c>
      <c r="B185" t="s">
        <v>15</v>
      </c>
      <c r="C185" t="s">
        <v>9</v>
      </c>
      <c r="D185" t="s">
        <v>10</v>
      </c>
      <c r="E185">
        <v>4</v>
      </c>
      <c r="F185">
        <v>23.17</v>
      </c>
      <c r="G185">
        <v>6.5</v>
      </c>
      <c r="H185">
        <f t="shared" si="14"/>
        <v>1</v>
      </c>
      <c r="I185">
        <f t="shared" si="15"/>
        <v>1</v>
      </c>
      <c r="J185">
        <f t="shared" si="16"/>
        <v>4</v>
      </c>
      <c r="K185">
        <f t="shared" si="17"/>
        <v>1</v>
      </c>
      <c r="L185">
        <f t="shared" si="18"/>
        <v>4.3287000000000004</v>
      </c>
      <c r="M185">
        <f t="shared" si="19"/>
        <v>2.1712999999999996</v>
      </c>
      <c r="N185">
        <f t="shared" si="20"/>
        <v>4.7145436899999984</v>
      </c>
      <c r="R185">
        <v>4</v>
      </c>
      <c r="S185">
        <v>23.17</v>
      </c>
      <c r="T185">
        <v>1</v>
      </c>
      <c r="U185">
        <v>1</v>
      </c>
      <c r="V185">
        <v>4</v>
      </c>
      <c r="W185">
        <v>1</v>
      </c>
    </row>
    <row r="186" spans="1:23" x14ac:dyDescent="0.3">
      <c r="A186" t="s">
        <v>11</v>
      </c>
      <c r="B186" t="s">
        <v>15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  <c r="H186">
        <f t="shared" si="14"/>
        <v>1</v>
      </c>
      <c r="I186">
        <f t="shared" si="15"/>
        <v>1</v>
      </c>
      <c r="J186">
        <f t="shared" si="16"/>
        <v>4</v>
      </c>
      <c r="K186">
        <f t="shared" si="17"/>
        <v>1</v>
      </c>
      <c r="L186">
        <f t="shared" si="18"/>
        <v>5.8804999999999996</v>
      </c>
      <c r="M186">
        <f t="shared" si="19"/>
        <v>-2.8804999999999996</v>
      </c>
      <c r="N186">
        <f t="shared" si="20"/>
        <v>8.2972802499999982</v>
      </c>
      <c r="R186">
        <v>2</v>
      </c>
      <c r="S186">
        <v>40.549999999999997</v>
      </c>
      <c r="T186">
        <v>1</v>
      </c>
      <c r="U186">
        <v>1</v>
      </c>
      <c r="V186">
        <v>4</v>
      </c>
      <c r="W186">
        <v>1</v>
      </c>
    </row>
    <row r="187" spans="1:23" x14ac:dyDescent="0.3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  <c r="H187">
        <f t="shared" si="14"/>
        <v>1</v>
      </c>
      <c r="I187">
        <f t="shared" si="15"/>
        <v>0</v>
      </c>
      <c r="J187">
        <f t="shared" si="16"/>
        <v>4</v>
      </c>
      <c r="K187">
        <f t="shared" si="17"/>
        <v>1</v>
      </c>
      <c r="L187">
        <f t="shared" si="18"/>
        <v>4.4359000000000002</v>
      </c>
      <c r="M187">
        <f t="shared" si="19"/>
        <v>0.56409999999999982</v>
      </c>
      <c r="N187">
        <f t="shared" si="20"/>
        <v>0.31820880999999979</v>
      </c>
      <c r="R187">
        <v>5</v>
      </c>
      <c r="S187">
        <v>20.69</v>
      </c>
      <c r="T187">
        <v>1</v>
      </c>
      <c r="U187">
        <v>0</v>
      </c>
      <c r="V187">
        <v>4</v>
      </c>
      <c r="W187">
        <v>1</v>
      </c>
    </row>
    <row r="188" spans="1:23" x14ac:dyDescent="0.3">
      <c r="A188" t="s">
        <v>7</v>
      </c>
      <c r="B188" t="s">
        <v>15</v>
      </c>
      <c r="C188" t="s">
        <v>9</v>
      </c>
      <c r="D188" t="s">
        <v>10</v>
      </c>
      <c r="E188">
        <v>3</v>
      </c>
      <c r="F188">
        <v>20.9</v>
      </c>
      <c r="G188">
        <v>3.5</v>
      </c>
      <c r="H188">
        <f t="shared" si="14"/>
        <v>0</v>
      </c>
      <c r="I188">
        <f t="shared" si="15"/>
        <v>1</v>
      </c>
      <c r="J188">
        <f t="shared" si="16"/>
        <v>4</v>
      </c>
      <c r="K188">
        <f t="shared" si="17"/>
        <v>1</v>
      </c>
      <c r="L188">
        <f t="shared" si="18"/>
        <v>3.7589999999999999</v>
      </c>
      <c r="M188">
        <f t="shared" si="19"/>
        <v>-0.2589999999999999</v>
      </c>
      <c r="N188">
        <f t="shared" si="20"/>
        <v>6.7080999999999946E-2</v>
      </c>
      <c r="R188">
        <v>3</v>
      </c>
      <c r="S188">
        <v>20.9</v>
      </c>
      <c r="T188">
        <v>0</v>
      </c>
      <c r="U188">
        <v>1</v>
      </c>
      <c r="V188">
        <v>4</v>
      </c>
      <c r="W188">
        <v>1</v>
      </c>
    </row>
    <row r="189" spans="1:23" x14ac:dyDescent="0.3">
      <c r="A189" t="s">
        <v>11</v>
      </c>
      <c r="B189" t="s">
        <v>15</v>
      </c>
      <c r="C189" t="s">
        <v>9</v>
      </c>
      <c r="D189" t="s">
        <v>10</v>
      </c>
      <c r="E189">
        <v>5</v>
      </c>
      <c r="F189">
        <v>30.46</v>
      </c>
      <c r="G189">
        <v>2</v>
      </c>
      <c r="H189">
        <f t="shared" si="14"/>
        <v>1</v>
      </c>
      <c r="I189">
        <f t="shared" si="15"/>
        <v>1</v>
      </c>
      <c r="J189">
        <f t="shared" si="16"/>
        <v>4</v>
      </c>
      <c r="K189">
        <f t="shared" si="17"/>
        <v>1</v>
      </c>
      <c r="L189">
        <f t="shared" si="18"/>
        <v>5.3106</v>
      </c>
      <c r="M189">
        <f t="shared" si="19"/>
        <v>-3.3106</v>
      </c>
      <c r="N189">
        <f t="shared" si="20"/>
        <v>10.96007236</v>
      </c>
      <c r="R189">
        <v>5</v>
      </c>
      <c r="S189">
        <v>30.46</v>
      </c>
      <c r="T189">
        <v>1</v>
      </c>
      <c r="U189">
        <v>1</v>
      </c>
      <c r="V189">
        <v>4</v>
      </c>
      <c r="W189">
        <v>1</v>
      </c>
    </row>
    <row r="190" spans="1:23" x14ac:dyDescent="0.3">
      <c r="A190" t="s">
        <v>7</v>
      </c>
      <c r="B190" t="s">
        <v>15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  <c r="H190">
        <f t="shared" si="14"/>
        <v>0</v>
      </c>
      <c r="I190">
        <f t="shared" si="15"/>
        <v>1</v>
      </c>
      <c r="J190">
        <f t="shared" si="16"/>
        <v>4</v>
      </c>
      <c r="K190">
        <f t="shared" si="17"/>
        <v>1</v>
      </c>
      <c r="L190">
        <f t="shared" si="18"/>
        <v>3.4565000000000001</v>
      </c>
      <c r="M190">
        <f t="shared" si="19"/>
        <v>4.3499999999999872E-2</v>
      </c>
      <c r="N190">
        <f t="shared" si="20"/>
        <v>1.8922499999999888E-3</v>
      </c>
      <c r="R190">
        <v>3</v>
      </c>
      <c r="S190">
        <v>18.149999999999999</v>
      </c>
      <c r="T190">
        <v>0</v>
      </c>
      <c r="U190">
        <v>1</v>
      </c>
      <c r="V190">
        <v>4</v>
      </c>
      <c r="W190">
        <v>1</v>
      </c>
    </row>
    <row r="191" spans="1:23" x14ac:dyDescent="0.3">
      <c r="A191" t="s">
        <v>11</v>
      </c>
      <c r="B191" t="s">
        <v>15</v>
      </c>
      <c r="C191" t="s">
        <v>9</v>
      </c>
      <c r="D191" t="s">
        <v>10</v>
      </c>
      <c r="E191">
        <v>3</v>
      </c>
      <c r="F191">
        <v>23.1</v>
      </c>
      <c r="G191">
        <v>4</v>
      </c>
      <c r="H191">
        <f t="shared" si="14"/>
        <v>1</v>
      </c>
      <c r="I191">
        <f t="shared" si="15"/>
        <v>1</v>
      </c>
      <c r="J191">
        <f t="shared" si="16"/>
        <v>4</v>
      </c>
      <c r="K191">
        <f t="shared" si="17"/>
        <v>1</v>
      </c>
      <c r="L191">
        <f t="shared" si="18"/>
        <v>4.141</v>
      </c>
      <c r="M191">
        <f t="shared" si="19"/>
        <v>-0.14100000000000001</v>
      </c>
      <c r="N191">
        <f t="shared" si="20"/>
        <v>1.9881000000000003E-2</v>
      </c>
      <c r="R191">
        <v>3</v>
      </c>
      <c r="S191">
        <v>23.1</v>
      </c>
      <c r="T191">
        <v>1</v>
      </c>
      <c r="U191">
        <v>1</v>
      </c>
      <c r="V191">
        <v>4</v>
      </c>
      <c r="W191">
        <v>1</v>
      </c>
    </row>
    <row r="192" spans="1:23" x14ac:dyDescent="0.3">
      <c r="A192" t="s">
        <v>11</v>
      </c>
      <c r="B192" t="s">
        <v>15</v>
      </c>
      <c r="C192" t="s">
        <v>9</v>
      </c>
      <c r="D192" t="s">
        <v>10</v>
      </c>
      <c r="E192">
        <v>2</v>
      </c>
      <c r="F192">
        <v>15.69</v>
      </c>
      <c r="G192">
        <v>1.5</v>
      </c>
      <c r="H192">
        <f t="shared" si="14"/>
        <v>1</v>
      </c>
      <c r="I192">
        <f t="shared" si="15"/>
        <v>1</v>
      </c>
      <c r="J192">
        <f t="shared" si="16"/>
        <v>4</v>
      </c>
      <c r="K192">
        <f t="shared" si="17"/>
        <v>1</v>
      </c>
      <c r="L192">
        <f t="shared" si="18"/>
        <v>3.1459000000000001</v>
      </c>
      <c r="M192">
        <f t="shared" si="19"/>
        <v>-1.6459000000000001</v>
      </c>
      <c r="N192">
        <f t="shared" si="20"/>
        <v>2.7089868100000003</v>
      </c>
      <c r="R192">
        <v>2</v>
      </c>
      <c r="S192">
        <v>15.69</v>
      </c>
      <c r="T192">
        <v>1</v>
      </c>
      <c r="U192">
        <v>1</v>
      </c>
      <c r="V192">
        <v>4</v>
      </c>
      <c r="W192">
        <v>1</v>
      </c>
    </row>
    <row r="193" spans="1:23" x14ac:dyDescent="0.3">
      <c r="A193" t="s">
        <v>7</v>
      </c>
      <c r="B193" t="s">
        <v>15</v>
      </c>
      <c r="C193" t="s">
        <v>16</v>
      </c>
      <c r="D193" t="s">
        <v>17</v>
      </c>
      <c r="E193">
        <v>2</v>
      </c>
      <c r="F193">
        <v>19.809999999999999</v>
      </c>
      <c r="G193">
        <v>4.1900000000000004</v>
      </c>
      <c r="H193">
        <f t="shared" si="14"/>
        <v>0</v>
      </c>
      <c r="I193">
        <f t="shared" si="15"/>
        <v>1</v>
      </c>
      <c r="J193">
        <f t="shared" si="16"/>
        <v>1</v>
      </c>
      <c r="K193">
        <f t="shared" si="17"/>
        <v>0</v>
      </c>
      <c r="L193">
        <f t="shared" si="18"/>
        <v>3.2890999999999999</v>
      </c>
      <c r="M193">
        <f t="shared" si="19"/>
        <v>0.90090000000000048</v>
      </c>
      <c r="N193">
        <f t="shared" si="20"/>
        <v>0.81162081000000086</v>
      </c>
      <c r="R193">
        <v>2</v>
      </c>
      <c r="S193">
        <v>19.809999999999999</v>
      </c>
      <c r="T193">
        <v>0</v>
      </c>
      <c r="U193">
        <v>1</v>
      </c>
      <c r="V193">
        <v>1</v>
      </c>
      <c r="W193">
        <v>0</v>
      </c>
    </row>
    <row r="194" spans="1:23" x14ac:dyDescent="0.3">
      <c r="A194" t="s">
        <v>11</v>
      </c>
      <c r="B194" t="s">
        <v>15</v>
      </c>
      <c r="C194" t="s">
        <v>16</v>
      </c>
      <c r="D194" t="s">
        <v>17</v>
      </c>
      <c r="E194">
        <v>2</v>
      </c>
      <c r="F194">
        <v>28.44</v>
      </c>
      <c r="G194">
        <v>2.56</v>
      </c>
      <c r="H194">
        <f t="shared" si="14"/>
        <v>1</v>
      </c>
      <c r="I194">
        <f t="shared" si="15"/>
        <v>1</v>
      </c>
      <c r="J194">
        <f t="shared" si="16"/>
        <v>1</v>
      </c>
      <c r="K194">
        <f t="shared" si="17"/>
        <v>0</v>
      </c>
      <c r="L194">
        <f t="shared" si="18"/>
        <v>4.3784000000000001</v>
      </c>
      <c r="M194">
        <f t="shared" si="19"/>
        <v>-1.8184</v>
      </c>
      <c r="N194">
        <f t="shared" si="20"/>
        <v>3.3065785600000002</v>
      </c>
      <c r="R194">
        <v>2</v>
      </c>
      <c r="S194">
        <v>28.44</v>
      </c>
      <c r="T194">
        <v>1</v>
      </c>
      <c r="U194">
        <v>1</v>
      </c>
      <c r="V194">
        <v>1</v>
      </c>
      <c r="W194">
        <v>0</v>
      </c>
    </row>
    <row r="195" spans="1:23" x14ac:dyDescent="0.3">
      <c r="A195" t="s">
        <v>11</v>
      </c>
      <c r="B195" t="s">
        <v>15</v>
      </c>
      <c r="C195" t="s">
        <v>16</v>
      </c>
      <c r="D195" t="s">
        <v>17</v>
      </c>
      <c r="E195">
        <v>2</v>
      </c>
      <c r="F195">
        <v>15.48</v>
      </c>
      <c r="G195">
        <v>2.02</v>
      </c>
      <c r="H195">
        <f t="shared" ref="H195:H244" si="21">IF(A195="Male",1,0)</f>
        <v>1</v>
      </c>
      <c r="I195">
        <f t="shared" ref="I195:I244" si="22">IF(B195="Yes",1,0)</f>
        <v>1</v>
      </c>
      <c r="J195">
        <f t="shared" ref="J195:J244" si="23">IF(C195="Thur",1,IF(C195="Fri",2,IF(C195="Sat",3,4)))</f>
        <v>1</v>
      </c>
      <c r="K195">
        <f t="shared" ref="K195:K244" si="24">IF(D195="Dinner",1,0)</f>
        <v>0</v>
      </c>
      <c r="L195">
        <f t="shared" ref="L195:L244" si="25">0.92+(E195*0.18)+(F195*0.11)+(H195*0.14)+(I195*-0.2)+(J195*0.03)+(K195*0.08)</f>
        <v>2.9527999999999999</v>
      </c>
      <c r="M195">
        <f t="shared" ref="M195:M244" si="26">G195-L195</f>
        <v>-0.93279999999999985</v>
      </c>
      <c r="N195">
        <f t="shared" ref="N195:N244" si="27">(G195-L195)^2</f>
        <v>0.87011583999999975</v>
      </c>
      <c r="R195">
        <v>2</v>
      </c>
      <c r="S195">
        <v>15.48</v>
      </c>
      <c r="T195">
        <v>1</v>
      </c>
      <c r="U195">
        <v>1</v>
      </c>
      <c r="V195">
        <v>1</v>
      </c>
      <c r="W195">
        <v>0</v>
      </c>
    </row>
    <row r="196" spans="1:23" x14ac:dyDescent="0.3">
      <c r="A196" t="s">
        <v>11</v>
      </c>
      <c r="B196" t="s">
        <v>15</v>
      </c>
      <c r="C196" t="s">
        <v>16</v>
      </c>
      <c r="D196" t="s">
        <v>17</v>
      </c>
      <c r="E196">
        <v>2</v>
      </c>
      <c r="F196">
        <v>16.579999999999998</v>
      </c>
      <c r="G196">
        <v>4</v>
      </c>
      <c r="H196">
        <f t="shared" si="21"/>
        <v>1</v>
      </c>
      <c r="I196">
        <f t="shared" si="22"/>
        <v>1</v>
      </c>
      <c r="J196">
        <f t="shared" si="23"/>
        <v>1</v>
      </c>
      <c r="K196">
        <f t="shared" si="24"/>
        <v>0</v>
      </c>
      <c r="L196">
        <f t="shared" si="25"/>
        <v>3.0737999999999994</v>
      </c>
      <c r="M196">
        <f t="shared" si="26"/>
        <v>0.92620000000000058</v>
      </c>
      <c r="N196">
        <f t="shared" si="27"/>
        <v>0.8578464400000011</v>
      </c>
      <c r="R196">
        <v>2</v>
      </c>
      <c r="S196">
        <v>16.579999999999998</v>
      </c>
      <c r="T196">
        <v>1</v>
      </c>
      <c r="U196">
        <v>1</v>
      </c>
      <c r="V196">
        <v>1</v>
      </c>
      <c r="W196">
        <v>0</v>
      </c>
    </row>
    <row r="197" spans="1:23" x14ac:dyDescent="0.3">
      <c r="A197" t="s">
        <v>11</v>
      </c>
      <c r="B197" t="s">
        <v>8</v>
      </c>
      <c r="C197" t="s">
        <v>16</v>
      </c>
      <c r="D197" t="s">
        <v>17</v>
      </c>
      <c r="E197">
        <v>2</v>
      </c>
      <c r="F197">
        <v>7.56</v>
      </c>
      <c r="G197">
        <v>1.44</v>
      </c>
      <c r="H197">
        <f t="shared" si="21"/>
        <v>1</v>
      </c>
      <c r="I197">
        <f t="shared" si="22"/>
        <v>0</v>
      </c>
      <c r="J197">
        <f t="shared" si="23"/>
        <v>1</v>
      </c>
      <c r="K197">
        <f t="shared" si="24"/>
        <v>0</v>
      </c>
      <c r="L197">
        <f t="shared" si="25"/>
        <v>2.2816000000000001</v>
      </c>
      <c r="M197">
        <f t="shared" si="26"/>
        <v>-0.84160000000000013</v>
      </c>
      <c r="N197">
        <f t="shared" si="27"/>
        <v>0.70829056000000024</v>
      </c>
      <c r="R197">
        <v>2</v>
      </c>
      <c r="S197">
        <v>7.56</v>
      </c>
      <c r="T197">
        <v>1</v>
      </c>
      <c r="U197">
        <v>0</v>
      </c>
      <c r="V197">
        <v>1</v>
      </c>
      <c r="W197">
        <v>0</v>
      </c>
    </row>
    <row r="198" spans="1:23" x14ac:dyDescent="0.3">
      <c r="A198" t="s">
        <v>11</v>
      </c>
      <c r="B198" t="s">
        <v>15</v>
      </c>
      <c r="C198" t="s">
        <v>16</v>
      </c>
      <c r="D198" t="s">
        <v>17</v>
      </c>
      <c r="E198">
        <v>2</v>
      </c>
      <c r="F198">
        <v>10.34</v>
      </c>
      <c r="G198">
        <v>2</v>
      </c>
      <c r="H198">
        <f t="shared" si="21"/>
        <v>1</v>
      </c>
      <c r="I198">
        <f t="shared" si="22"/>
        <v>1</v>
      </c>
      <c r="J198">
        <f t="shared" si="23"/>
        <v>1</v>
      </c>
      <c r="K198">
        <f t="shared" si="24"/>
        <v>0</v>
      </c>
      <c r="L198">
        <f t="shared" si="25"/>
        <v>2.3873999999999995</v>
      </c>
      <c r="M198">
        <f t="shared" si="26"/>
        <v>-0.38739999999999952</v>
      </c>
      <c r="N198">
        <f t="shared" si="27"/>
        <v>0.15007875999999962</v>
      </c>
      <c r="R198">
        <v>2</v>
      </c>
      <c r="S198">
        <v>10.34</v>
      </c>
      <c r="T198">
        <v>1</v>
      </c>
      <c r="U198">
        <v>1</v>
      </c>
      <c r="V198">
        <v>1</v>
      </c>
      <c r="W198">
        <v>0</v>
      </c>
    </row>
    <row r="199" spans="1:23" x14ac:dyDescent="0.3">
      <c r="A199" t="s">
        <v>7</v>
      </c>
      <c r="B199" t="s">
        <v>15</v>
      </c>
      <c r="C199" t="s">
        <v>16</v>
      </c>
      <c r="D199" t="s">
        <v>17</v>
      </c>
      <c r="E199">
        <v>4</v>
      </c>
      <c r="F199">
        <v>43.11</v>
      </c>
      <c r="G199">
        <v>5</v>
      </c>
      <c r="H199">
        <f t="shared" si="21"/>
        <v>0</v>
      </c>
      <c r="I199">
        <f t="shared" si="22"/>
        <v>1</v>
      </c>
      <c r="J199">
        <f t="shared" si="23"/>
        <v>1</v>
      </c>
      <c r="K199">
        <f t="shared" si="24"/>
        <v>0</v>
      </c>
      <c r="L199">
        <f t="shared" si="25"/>
        <v>6.2120999999999995</v>
      </c>
      <c r="M199">
        <f t="shared" si="26"/>
        <v>-1.2120999999999995</v>
      </c>
      <c r="N199">
        <f t="shared" si="27"/>
        <v>1.4691864099999987</v>
      </c>
      <c r="R199">
        <v>4</v>
      </c>
      <c r="S199">
        <v>43.11</v>
      </c>
      <c r="T199">
        <v>0</v>
      </c>
      <c r="U199">
        <v>1</v>
      </c>
      <c r="V199">
        <v>1</v>
      </c>
      <c r="W199">
        <v>0</v>
      </c>
    </row>
    <row r="200" spans="1:23" x14ac:dyDescent="0.3">
      <c r="A200" t="s">
        <v>7</v>
      </c>
      <c r="B200" t="s">
        <v>15</v>
      </c>
      <c r="C200" t="s">
        <v>16</v>
      </c>
      <c r="D200" t="s">
        <v>17</v>
      </c>
      <c r="E200">
        <v>2</v>
      </c>
      <c r="F200">
        <v>13</v>
      </c>
      <c r="G200">
        <v>2</v>
      </c>
      <c r="H200">
        <f t="shared" si="21"/>
        <v>0</v>
      </c>
      <c r="I200">
        <f t="shared" si="22"/>
        <v>1</v>
      </c>
      <c r="J200">
        <f t="shared" si="23"/>
        <v>1</v>
      </c>
      <c r="K200">
        <f t="shared" si="24"/>
        <v>0</v>
      </c>
      <c r="L200">
        <f t="shared" si="25"/>
        <v>2.5399999999999996</v>
      </c>
      <c r="M200">
        <f t="shared" si="26"/>
        <v>-0.53999999999999959</v>
      </c>
      <c r="N200">
        <f t="shared" si="27"/>
        <v>0.29159999999999958</v>
      </c>
      <c r="R200">
        <v>2</v>
      </c>
      <c r="S200">
        <v>13</v>
      </c>
      <c r="T200">
        <v>0</v>
      </c>
      <c r="U200">
        <v>1</v>
      </c>
      <c r="V200">
        <v>1</v>
      </c>
      <c r="W200">
        <v>0</v>
      </c>
    </row>
    <row r="201" spans="1:23" x14ac:dyDescent="0.3">
      <c r="A201" t="s">
        <v>11</v>
      </c>
      <c r="B201" t="s">
        <v>15</v>
      </c>
      <c r="C201" t="s">
        <v>16</v>
      </c>
      <c r="D201" t="s">
        <v>17</v>
      </c>
      <c r="E201">
        <v>2</v>
      </c>
      <c r="F201">
        <v>13.51</v>
      </c>
      <c r="G201">
        <v>2</v>
      </c>
      <c r="H201">
        <f t="shared" si="21"/>
        <v>1</v>
      </c>
      <c r="I201">
        <f t="shared" si="22"/>
        <v>1</v>
      </c>
      <c r="J201">
        <f t="shared" si="23"/>
        <v>1</v>
      </c>
      <c r="K201">
        <f t="shared" si="24"/>
        <v>0</v>
      </c>
      <c r="L201">
        <f t="shared" si="25"/>
        <v>2.7360999999999995</v>
      </c>
      <c r="M201">
        <f t="shared" si="26"/>
        <v>-0.73609999999999953</v>
      </c>
      <c r="N201">
        <f t="shared" si="27"/>
        <v>0.54184320999999935</v>
      </c>
      <c r="R201">
        <v>2</v>
      </c>
      <c r="S201">
        <v>13.51</v>
      </c>
      <c r="T201">
        <v>1</v>
      </c>
      <c r="U201">
        <v>1</v>
      </c>
      <c r="V201">
        <v>1</v>
      </c>
      <c r="W201">
        <v>0</v>
      </c>
    </row>
    <row r="202" spans="1:23" x14ac:dyDescent="0.3">
      <c r="A202" t="s">
        <v>11</v>
      </c>
      <c r="B202" t="s">
        <v>15</v>
      </c>
      <c r="C202" t="s">
        <v>16</v>
      </c>
      <c r="D202" t="s">
        <v>17</v>
      </c>
      <c r="E202">
        <v>3</v>
      </c>
      <c r="F202">
        <v>18.71</v>
      </c>
      <c r="G202">
        <v>4</v>
      </c>
      <c r="H202">
        <f t="shared" si="21"/>
        <v>1</v>
      </c>
      <c r="I202">
        <f t="shared" si="22"/>
        <v>1</v>
      </c>
      <c r="J202">
        <f t="shared" si="23"/>
        <v>1</v>
      </c>
      <c r="K202">
        <f t="shared" si="24"/>
        <v>0</v>
      </c>
      <c r="L202">
        <f t="shared" si="25"/>
        <v>3.4880999999999998</v>
      </c>
      <c r="M202">
        <f t="shared" si="26"/>
        <v>0.51190000000000024</v>
      </c>
      <c r="N202">
        <f t="shared" si="27"/>
        <v>0.26204161000000026</v>
      </c>
      <c r="R202">
        <v>3</v>
      </c>
      <c r="S202">
        <v>18.71</v>
      </c>
      <c r="T202">
        <v>1</v>
      </c>
      <c r="U202">
        <v>1</v>
      </c>
      <c r="V202">
        <v>1</v>
      </c>
      <c r="W202">
        <v>0</v>
      </c>
    </row>
    <row r="203" spans="1:23" x14ac:dyDescent="0.3">
      <c r="A203" t="s">
        <v>7</v>
      </c>
      <c r="B203" t="s">
        <v>15</v>
      </c>
      <c r="C203" t="s">
        <v>16</v>
      </c>
      <c r="D203" t="s">
        <v>17</v>
      </c>
      <c r="E203">
        <v>2</v>
      </c>
      <c r="F203">
        <v>12.74</v>
      </c>
      <c r="G203">
        <v>2.0099999999999998</v>
      </c>
      <c r="H203">
        <f t="shared" si="21"/>
        <v>0</v>
      </c>
      <c r="I203">
        <f t="shared" si="22"/>
        <v>1</v>
      </c>
      <c r="J203">
        <f t="shared" si="23"/>
        <v>1</v>
      </c>
      <c r="K203">
        <f t="shared" si="24"/>
        <v>0</v>
      </c>
      <c r="L203">
        <f t="shared" si="25"/>
        <v>2.5113999999999996</v>
      </c>
      <c r="M203">
        <f t="shared" si="26"/>
        <v>-0.50139999999999985</v>
      </c>
      <c r="N203">
        <f t="shared" si="27"/>
        <v>0.25140195999999987</v>
      </c>
      <c r="R203">
        <v>2</v>
      </c>
      <c r="S203">
        <v>12.74</v>
      </c>
      <c r="T203">
        <v>0</v>
      </c>
      <c r="U203">
        <v>1</v>
      </c>
      <c r="V203">
        <v>1</v>
      </c>
      <c r="W203">
        <v>0</v>
      </c>
    </row>
    <row r="204" spans="1:23" x14ac:dyDescent="0.3">
      <c r="A204" t="s">
        <v>7</v>
      </c>
      <c r="B204" t="s">
        <v>15</v>
      </c>
      <c r="C204" t="s">
        <v>16</v>
      </c>
      <c r="D204" t="s">
        <v>17</v>
      </c>
      <c r="E204">
        <v>2</v>
      </c>
      <c r="F204">
        <v>16.399999999999999</v>
      </c>
      <c r="G204">
        <v>2.5</v>
      </c>
      <c r="H204">
        <f t="shared" si="21"/>
        <v>0</v>
      </c>
      <c r="I204">
        <f t="shared" si="22"/>
        <v>1</v>
      </c>
      <c r="J204">
        <f t="shared" si="23"/>
        <v>1</v>
      </c>
      <c r="K204">
        <f t="shared" si="24"/>
        <v>0</v>
      </c>
      <c r="L204">
        <f t="shared" si="25"/>
        <v>2.9139999999999993</v>
      </c>
      <c r="M204">
        <f t="shared" si="26"/>
        <v>-0.41399999999999926</v>
      </c>
      <c r="N204">
        <f t="shared" si="27"/>
        <v>0.17139599999999938</v>
      </c>
      <c r="R204">
        <v>2</v>
      </c>
      <c r="S204">
        <v>16.399999999999999</v>
      </c>
      <c r="T204">
        <v>0</v>
      </c>
      <c r="U204">
        <v>1</v>
      </c>
      <c r="V204">
        <v>1</v>
      </c>
      <c r="W204">
        <v>0</v>
      </c>
    </row>
    <row r="205" spans="1:23" x14ac:dyDescent="0.3">
      <c r="A205" t="s">
        <v>11</v>
      </c>
      <c r="B205" t="s">
        <v>15</v>
      </c>
      <c r="C205" t="s">
        <v>16</v>
      </c>
      <c r="D205" t="s">
        <v>17</v>
      </c>
      <c r="E205">
        <v>4</v>
      </c>
      <c r="F205">
        <v>20.53</v>
      </c>
      <c r="G205">
        <v>4</v>
      </c>
      <c r="H205">
        <f t="shared" si="21"/>
        <v>1</v>
      </c>
      <c r="I205">
        <f t="shared" si="22"/>
        <v>1</v>
      </c>
      <c r="J205">
        <f t="shared" si="23"/>
        <v>1</v>
      </c>
      <c r="K205">
        <f t="shared" si="24"/>
        <v>0</v>
      </c>
      <c r="L205">
        <f t="shared" si="25"/>
        <v>3.8683000000000001</v>
      </c>
      <c r="M205">
        <f t="shared" si="26"/>
        <v>0.13169999999999993</v>
      </c>
      <c r="N205">
        <f t="shared" si="27"/>
        <v>1.7344889999999981E-2</v>
      </c>
      <c r="R205">
        <v>4</v>
      </c>
      <c r="S205">
        <v>20.53</v>
      </c>
      <c r="T205">
        <v>1</v>
      </c>
      <c r="U205">
        <v>1</v>
      </c>
      <c r="V205">
        <v>1</v>
      </c>
      <c r="W205">
        <v>0</v>
      </c>
    </row>
    <row r="206" spans="1:23" x14ac:dyDescent="0.3">
      <c r="A206" t="s">
        <v>7</v>
      </c>
      <c r="B206" t="s">
        <v>15</v>
      </c>
      <c r="C206" t="s">
        <v>16</v>
      </c>
      <c r="D206" t="s">
        <v>17</v>
      </c>
      <c r="E206">
        <v>3</v>
      </c>
      <c r="F206">
        <v>16.47</v>
      </c>
      <c r="G206">
        <v>3.23</v>
      </c>
      <c r="H206">
        <f t="shared" si="21"/>
        <v>0</v>
      </c>
      <c r="I206">
        <f t="shared" si="22"/>
        <v>1</v>
      </c>
      <c r="J206">
        <f t="shared" si="23"/>
        <v>1</v>
      </c>
      <c r="K206">
        <f t="shared" si="24"/>
        <v>0</v>
      </c>
      <c r="L206">
        <f t="shared" si="25"/>
        <v>3.1016999999999997</v>
      </c>
      <c r="M206">
        <f t="shared" si="26"/>
        <v>0.1283000000000003</v>
      </c>
      <c r="N206">
        <f t="shared" si="27"/>
        <v>1.6460890000000079E-2</v>
      </c>
      <c r="R206">
        <v>3</v>
      </c>
      <c r="S206">
        <v>16.47</v>
      </c>
      <c r="T206">
        <v>0</v>
      </c>
      <c r="U206">
        <v>1</v>
      </c>
      <c r="V206">
        <v>1</v>
      </c>
      <c r="W206">
        <v>0</v>
      </c>
    </row>
    <row r="207" spans="1:23" x14ac:dyDescent="0.3">
      <c r="A207" t="s">
        <v>11</v>
      </c>
      <c r="B207" t="s">
        <v>15</v>
      </c>
      <c r="C207" t="s">
        <v>14</v>
      </c>
      <c r="D207" t="s">
        <v>10</v>
      </c>
      <c r="E207">
        <v>3</v>
      </c>
      <c r="F207">
        <v>26.59</v>
      </c>
      <c r="G207">
        <v>3.41</v>
      </c>
      <c r="H207">
        <f t="shared" si="21"/>
        <v>1</v>
      </c>
      <c r="I207">
        <f t="shared" si="22"/>
        <v>1</v>
      </c>
      <c r="J207">
        <f t="shared" si="23"/>
        <v>3</v>
      </c>
      <c r="K207">
        <f t="shared" si="24"/>
        <v>1</v>
      </c>
      <c r="L207">
        <f t="shared" si="25"/>
        <v>4.4948999999999995</v>
      </c>
      <c r="M207">
        <f t="shared" si="26"/>
        <v>-1.0848999999999993</v>
      </c>
      <c r="N207">
        <f t="shared" si="27"/>
        <v>1.1770080099999984</v>
      </c>
      <c r="R207">
        <v>3</v>
      </c>
      <c r="S207">
        <v>26.59</v>
      </c>
      <c r="T207">
        <v>1</v>
      </c>
      <c r="U207">
        <v>1</v>
      </c>
      <c r="V207">
        <v>3</v>
      </c>
      <c r="W207">
        <v>1</v>
      </c>
    </row>
    <row r="208" spans="1:23" x14ac:dyDescent="0.3">
      <c r="A208" t="s">
        <v>11</v>
      </c>
      <c r="B208" t="s">
        <v>15</v>
      </c>
      <c r="C208" t="s">
        <v>14</v>
      </c>
      <c r="D208" t="s">
        <v>10</v>
      </c>
      <c r="E208">
        <v>4</v>
      </c>
      <c r="F208">
        <v>38.729999999999997</v>
      </c>
      <c r="G208">
        <v>3</v>
      </c>
      <c r="H208">
        <f t="shared" si="21"/>
        <v>1</v>
      </c>
      <c r="I208">
        <f t="shared" si="22"/>
        <v>1</v>
      </c>
      <c r="J208">
        <f t="shared" si="23"/>
        <v>3</v>
      </c>
      <c r="K208">
        <f t="shared" si="24"/>
        <v>1</v>
      </c>
      <c r="L208">
        <f t="shared" si="25"/>
        <v>6.0102999999999991</v>
      </c>
      <c r="M208">
        <f t="shared" si="26"/>
        <v>-3.0102999999999991</v>
      </c>
      <c r="N208">
        <f t="shared" si="27"/>
        <v>9.0619060899999937</v>
      </c>
      <c r="R208">
        <v>4</v>
      </c>
      <c r="S208">
        <v>38.729999999999997</v>
      </c>
      <c r="T208">
        <v>1</v>
      </c>
      <c r="U208">
        <v>1</v>
      </c>
      <c r="V208">
        <v>3</v>
      </c>
      <c r="W208">
        <v>1</v>
      </c>
    </row>
    <row r="209" spans="1:23" x14ac:dyDescent="0.3">
      <c r="A209" t="s">
        <v>11</v>
      </c>
      <c r="B209" t="s">
        <v>15</v>
      </c>
      <c r="C209" t="s">
        <v>14</v>
      </c>
      <c r="D209" t="s">
        <v>10</v>
      </c>
      <c r="E209">
        <v>2</v>
      </c>
      <c r="F209">
        <v>24.27</v>
      </c>
      <c r="G209">
        <v>2.0299999999999998</v>
      </c>
      <c r="H209">
        <f t="shared" si="21"/>
        <v>1</v>
      </c>
      <c r="I209">
        <f t="shared" si="22"/>
        <v>1</v>
      </c>
      <c r="J209">
        <f t="shared" si="23"/>
        <v>3</v>
      </c>
      <c r="K209">
        <f t="shared" si="24"/>
        <v>1</v>
      </c>
      <c r="L209">
        <f t="shared" si="25"/>
        <v>4.0596999999999994</v>
      </c>
      <c r="M209">
        <f t="shared" si="26"/>
        <v>-2.0296999999999996</v>
      </c>
      <c r="N209">
        <f t="shared" si="27"/>
        <v>4.1196820899999986</v>
      </c>
      <c r="R209">
        <v>2</v>
      </c>
      <c r="S209">
        <v>24.27</v>
      </c>
      <c r="T209">
        <v>1</v>
      </c>
      <c r="U209">
        <v>1</v>
      </c>
      <c r="V209">
        <v>3</v>
      </c>
      <c r="W209">
        <v>1</v>
      </c>
    </row>
    <row r="210" spans="1:23" x14ac:dyDescent="0.3">
      <c r="A210" t="s">
        <v>7</v>
      </c>
      <c r="B210" t="s">
        <v>15</v>
      </c>
      <c r="C210" t="s">
        <v>14</v>
      </c>
      <c r="D210" t="s">
        <v>10</v>
      </c>
      <c r="E210">
        <v>2</v>
      </c>
      <c r="F210">
        <v>12.76</v>
      </c>
      <c r="G210">
        <v>2.23</v>
      </c>
      <c r="H210">
        <f t="shared" si="21"/>
        <v>0</v>
      </c>
      <c r="I210">
        <f t="shared" si="22"/>
        <v>1</v>
      </c>
      <c r="J210">
        <f t="shared" si="23"/>
        <v>3</v>
      </c>
      <c r="K210">
        <f t="shared" si="24"/>
        <v>1</v>
      </c>
      <c r="L210">
        <f t="shared" si="25"/>
        <v>2.6536</v>
      </c>
      <c r="M210">
        <f t="shared" si="26"/>
        <v>-0.42359999999999998</v>
      </c>
      <c r="N210">
        <f t="shared" si="27"/>
        <v>0.17943695999999998</v>
      </c>
      <c r="R210">
        <v>2</v>
      </c>
      <c r="S210">
        <v>12.76</v>
      </c>
      <c r="T210">
        <v>0</v>
      </c>
      <c r="U210">
        <v>1</v>
      </c>
      <c r="V210">
        <v>3</v>
      </c>
      <c r="W210">
        <v>1</v>
      </c>
    </row>
    <row r="211" spans="1:23" x14ac:dyDescent="0.3">
      <c r="A211" t="s">
        <v>11</v>
      </c>
      <c r="B211" t="s">
        <v>15</v>
      </c>
      <c r="C211" t="s">
        <v>14</v>
      </c>
      <c r="D211" t="s">
        <v>10</v>
      </c>
      <c r="E211">
        <v>3</v>
      </c>
      <c r="F211">
        <v>30.06</v>
      </c>
      <c r="G211">
        <v>2</v>
      </c>
      <c r="H211">
        <f t="shared" si="21"/>
        <v>1</v>
      </c>
      <c r="I211">
        <f t="shared" si="22"/>
        <v>1</v>
      </c>
      <c r="J211">
        <f t="shared" si="23"/>
        <v>3</v>
      </c>
      <c r="K211">
        <f t="shared" si="24"/>
        <v>1</v>
      </c>
      <c r="L211">
        <f t="shared" si="25"/>
        <v>4.8765999999999998</v>
      </c>
      <c r="M211">
        <f t="shared" si="26"/>
        <v>-2.8765999999999998</v>
      </c>
      <c r="N211">
        <f t="shared" si="27"/>
        <v>8.2748275599999985</v>
      </c>
      <c r="R211">
        <v>3</v>
      </c>
      <c r="S211">
        <v>30.06</v>
      </c>
      <c r="T211">
        <v>1</v>
      </c>
      <c r="U211">
        <v>1</v>
      </c>
      <c r="V211">
        <v>3</v>
      </c>
      <c r="W211">
        <v>1</v>
      </c>
    </row>
    <row r="212" spans="1:23" x14ac:dyDescent="0.3">
      <c r="A212" t="s">
        <v>11</v>
      </c>
      <c r="B212" t="s">
        <v>15</v>
      </c>
      <c r="C212" t="s">
        <v>14</v>
      </c>
      <c r="D212" t="s">
        <v>10</v>
      </c>
      <c r="E212">
        <v>4</v>
      </c>
      <c r="F212">
        <v>25.89</v>
      </c>
      <c r="G212">
        <v>5.16</v>
      </c>
      <c r="H212">
        <f t="shared" si="21"/>
        <v>1</v>
      </c>
      <c r="I212">
        <f t="shared" si="22"/>
        <v>1</v>
      </c>
      <c r="J212">
        <f t="shared" si="23"/>
        <v>3</v>
      </c>
      <c r="K212">
        <f t="shared" si="24"/>
        <v>1</v>
      </c>
      <c r="L212">
        <f t="shared" si="25"/>
        <v>4.5978999999999992</v>
      </c>
      <c r="M212">
        <f t="shared" si="26"/>
        <v>0.56210000000000093</v>
      </c>
      <c r="N212">
        <f t="shared" si="27"/>
        <v>0.31595641000000108</v>
      </c>
      <c r="R212">
        <v>4</v>
      </c>
      <c r="S212">
        <v>25.89</v>
      </c>
      <c r="T212">
        <v>1</v>
      </c>
      <c r="U212">
        <v>1</v>
      </c>
      <c r="V212">
        <v>3</v>
      </c>
      <c r="W212">
        <v>1</v>
      </c>
    </row>
    <row r="213" spans="1:23" x14ac:dyDescent="0.3">
      <c r="A213" t="s">
        <v>11</v>
      </c>
      <c r="B213" t="s">
        <v>8</v>
      </c>
      <c r="C213" t="s">
        <v>14</v>
      </c>
      <c r="D213" t="s">
        <v>10</v>
      </c>
      <c r="E213">
        <v>4</v>
      </c>
      <c r="F213">
        <v>48.33</v>
      </c>
      <c r="G213">
        <v>9</v>
      </c>
      <c r="H213">
        <f t="shared" si="21"/>
        <v>1</v>
      </c>
      <c r="I213">
        <f t="shared" si="22"/>
        <v>0</v>
      </c>
      <c r="J213">
        <f t="shared" si="23"/>
        <v>3</v>
      </c>
      <c r="K213">
        <f t="shared" si="24"/>
        <v>1</v>
      </c>
      <c r="L213">
        <f t="shared" si="25"/>
        <v>7.2663000000000002</v>
      </c>
      <c r="M213">
        <f t="shared" si="26"/>
        <v>1.7336999999999998</v>
      </c>
      <c r="N213">
        <f t="shared" si="27"/>
        <v>3.0057156899999993</v>
      </c>
      <c r="R213">
        <v>4</v>
      </c>
      <c r="S213">
        <v>48.33</v>
      </c>
      <c r="T213">
        <v>1</v>
      </c>
      <c r="U213">
        <v>0</v>
      </c>
      <c r="V213">
        <v>3</v>
      </c>
      <c r="W213">
        <v>1</v>
      </c>
    </row>
    <row r="214" spans="1:23" x14ac:dyDescent="0.3">
      <c r="A214" t="s">
        <v>7</v>
      </c>
      <c r="B214" t="s">
        <v>15</v>
      </c>
      <c r="C214" t="s">
        <v>14</v>
      </c>
      <c r="D214" t="s">
        <v>10</v>
      </c>
      <c r="E214">
        <v>2</v>
      </c>
      <c r="F214">
        <v>13.27</v>
      </c>
      <c r="G214">
        <v>2.5</v>
      </c>
      <c r="H214">
        <f t="shared" si="21"/>
        <v>0</v>
      </c>
      <c r="I214">
        <f t="shared" si="22"/>
        <v>1</v>
      </c>
      <c r="J214">
        <f t="shared" si="23"/>
        <v>3</v>
      </c>
      <c r="K214">
        <f t="shared" si="24"/>
        <v>1</v>
      </c>
      <c r="L214">
        <f t="shared" si="25"/>
        <v>2.7096999999999998</v>
      </c>
      <c r="M214">
        <f t="shared" si="26"/>
        <v>-0.20969999999999978</v>
      </c>
      <c r="N214">
        <f t="shared" si="27"/>
        <v>4.3974089999999903E-2</v>
      </c>
      <c r="R214">
        <v>2</v>
      </c>
      <c r="S214">
        <v>13.27</v>
      </c>
      <c r="T214">
        <v>0</v>
      </c>
      <c r="U214">
        <v>1</v>
      </c>
      <c r="V214">
        <v>3</v>
      </c>
      <c r="W214">
        <v>1</v>
      </c>
    </row>
    <row r="215" spans="1:23" x14ac:dyDescent="0.3">
      <c r="A215" t="s">
        <v>7</v>
      </c>
      <c r="B215" t="s">
        <v>15</v>
      </c>
      <c r="C215" t="s">
        <v>14</v>
      </c>
      <c r="D215" t="s">
        <v>10</v>
      </c>
      <c r="E215">
        <v>3</v>
      </c>
      <c r="F215">
        <v>28.17</v>
      </c>
      <c r="G215">
        <v>6.5</v>
      </c>
      <c r="H215">
        <f t="shared" si="21"/>
        <v>0</v>
      </c>
      <c r="I215">
        <f t="shared" si="22"/>
        <v>1</v>
      </c>
      <c r="J215">
        <f t="shared" si="23"/>
        <v>3</v>
      </c>
      <c r="K215">
        <f t="shared" si="24"/>
        <v>1</v>
      </c>
      <c r="L215">
        <f t="shared" si="25"/>
        <v>4.5286999999999997</v>
      </c>
      <c r="M215">
        <f t="shared" si="26"/>
        <v>1.9713000000000003</v>
      </c>
      <c r="N215">
        <f t="shared" si="27"/>
        <v>3.8860236900000009</v>
      </c>
      <c r="R215">
        <v>3</v>
      </c>
      <c r="S215">
        <v>28.17</v>
      </c>
      <c r="T215">
        <v>0</v>
      </c>
      <c r="U215">
        <v>1</v>
      </c>
      <c r="V215">
        <v>3</v>
      </c>
      <c r="W215">
        <v>1</v>
      </c>
    </row>
    <row r="216" spans="1:23" x14ac:dyDescent="0.3">
      <c r="A216" t="s">
        <v>7</v>
      </c>
      <c r="B216" t="s">
        <v>15</v>
      </c>
      <c r="C216" t="s">
        <v>14</v>
      </c>
      <c r="D216" t="s">
        <v>10</v>
      </c>
      <c r="E216">
        <v>2</v>
      </c>
      <c r="F216">
        <v>12.9</v>
      </c>
      <c r="G216">
        <v>1.1000000000000001</v>
      </c>
      <c r="H216">
        <f t="shared" si="21"/>
        <v>0</v>
      </c>
      <c r="I216">
        <f t="shared" si="22"/>
        <v>1</v>
      </c>
      <c r="J216">
        <f t="shared" si="23"/>
        <v>3</v>
      </c>
      <c r="K216">
        <f t="shared" si="24"/>
        <v>1</v>
      </c>
      <c r="L216">
        <f t="shared" si="25"/>
        <v>2.6689999999999996</v>
      </c>
      <c r="M216">
        <f t="shared" si="26"/>
        <v>-1.5689999999999995</v>
      </c>
      <c r="N216">
        <f t="shared" si="27"/>
        <v>2.4617609999999983</v>
      </c>
      <c r="R216">
        <v>2</v>
      </c>
      <c r="S216">
        <v>12.9</v>
      </c>
      <c r="T216">
        <v>0</v>
      </c>
      <c r="U216">
        <v>1</v>
      </c>
      <c r="V216">
        <v>3</v>
      </c>
      <c r="W216">
        <v>1</v>
      </c>
    </row>
    <row r="217" spans="1:23" x14ac:dyDescent="0.3">
      <c r="A217" t="s">
        <v>11</v>
      </c>
      <c r="B217" t="s">
        <v>15</v>
      </c>
      <c r="C217" t="s">
        <v>14</v>
      </c>
      <c r="D217" t="s">
        <v>10</v>
      </c>
      <c r="E217">
        <v>5</v>
      </c>
      <c r="F217">
        <v>28.15</v>
      </c>
      <c r="G217">
        <v>3</v>
      </c>
      <c r="H217">
        <f t="shared" si="21"/>
        <v>1</v>
      </c>
      <c r="I217">
        <f t="shared" si="22"/>
        <v>1</v>
      </c>
      <c r="J217">
        <f t="shared" si="23"/>
        <v>3</v>
      </c>
      <c r="K217">
        <f t="shared" si="24"/>
        <v>1</v>
      </c>
      <c r="L217">
        <f t="shared" si="25"/>
        <v>5.0264999999999986</v>
      </c>
      <c r="M217">
        <f t="shared" si="26"/>
        <v>-2.0264999999999986</v>
      </c>
      <c r="N217">
        <f t="shared" si="27"/>
        <v>4.1067022499999943</v>
      </c>
      <c r="R217">
        <v>5</v>
      </c>
      <c r="S217">
        <v>28.15</v>
      </c>
      <c r="T217">
        <v>1</v>
      </c>
      <c r="U217">
        <v>1</v>
      </c>
      <c r="V217">
        <v>3</v>
      </c>
      <c r="W217">
        <v>1</v>
      </c>
    </row>
    <row r="218" spans="1:23" x14ac:dyDescent="0.3">
      <c r="A218" t="s">
        <v>11</v>
      </c>
      <c r="B218" t="s">
        <v>15</v>
      </c>
      <c r="C218" t="s">
        <v>14</v>
      </c>
      <c r="D218" t="s">
        <v>10</v>
      </c>
      <c r="E218">
        <v>2</v>
      </c>
      <c r="F218">
        <v>11.59</v>
      </c>
      <c r="G218">
        <v>1.5</v>
      </c>
      <c r="H218">
        <f t="shared" si="21"/>
        <v>1</v>
      </c>
      <c r="I218">
        <f t="shared" si="22"/>
        <v>1</v>
      </c>
      <c r="J218">
        <f t="shared" si="23"/>
        <v>3</v>
      </c>
      <c r="K218">
        <f t="shared" si="24"/>
        <v>1</v>
      </c>
      <c r="L218">
        <f t="shared" si="25"/>
        <v>2.6648999999999998</v>
      </c>
      <c r="M218">
        <f t="shared" si="26"/>
        <v>-1.1648999999999998</v>
      </c>
      <c r="N218">
        <f t="shared" si="27"/>
        <v>1.3569920099999997</v>
      </c>
      <c r="R218">
        <v>2</v>
      </c>
      <c r="S218">
        <v>11.59</v>
      </c>
      <c r="T218">
        <v>1</v>
      </c>
      <c r="U218">
        <v>1</v>
      </c>
      <c r="V218">
        <v>3</v>
      </c>
      <c r="W218">
        <v>1</v>
      </c>
    </row>
    <row r="219" spans="1:23" x14ac:dyDescent="0.3">
      <c r="A219" t="s">
        <v>11</v>
      </c>
      <c r="B219" t="s">
        <v>15</v>
      </c>
      <c r="C219" t="s">
        <v>14</v>
      </c>
      <c r="D219" t="s">
        <v>10</v>
      </c>
      <c r="E219">
        <v>2</v>
      </c>
      <c r="F219">
        <v>7.74</v>
      </c>
      <c r="G219">
        <v>1.44</v>
      </c>
      <c r="H219">
        <f t="shared" si="21"/>
        <v>1</v>
      </c>
      <c r="I219">
        <f t="shared" si="22"/>
        <v>1</v>
      </c>
      <c r="J219">
        <f t="shared" si="23"/>
        <v>3</v>
      </c>
      <c r="K219">
        <f t="shared" si="24"/>
        <v>1</v>
      </c>
      <c r="L219">
        <f t="shared" si="25"/>
        <v>2.2414000000000001</v>
      </c>
      <c r="M219">
        <f t="shared" si="26"/>
        <v>-0.80140000000000011</v>
      </c>
      <c r="N219">
        <f t="shared" si="27"/>
        <v>0.64224196000000022</v>
      </c>
      <c r="R219">
        <v>2</v>
      </c>
      <c r="S219">
        <v>7.74</v>
      </c>
      <c r="T219">
        <v>1</v>
      </c>
      <c r="U219">
        <v>1</v>
      </c>
      <c r="V219">
        <v>3</v>
      </c>
      <c r="W219">
        <v>1</v>
      </c>
    </row>
    <row r="220" spans="1:23" x14ac:dyDescent="0.3">
      <c r="A220" t="s">
        <v>7</v>
      </c>
      <c r="B220" t="s">
        <v>15</v>
      </c>
      <c r="C220" t="s">
        <v>14</v>
      </c>
      <c r="D220" t="s">
        <v>10</v>
      </c>
      <c r="E220">
        <v>4</v>
      </c>
      <c r="F220">
        <v>30.14</v>
      </c>
      <c r="G220">
        <v>3.09</v>
      </c>
      <c r="H220">
        <f t="shared" si="21"/>
        <v>0</v>
      </c>
      <c r="I220">
        <f t="shared" si="22"/>
        <v>1</v>
      </c>
      <c r="J220">
        <f t="shared" si="23"/>
        <v>3</v>
      </c>
      <c r="K220">
        <f t="shared" si="24"/>
        <v>1</v>
      </c>
      <c r="L220">
        <f t="shared" si="25"/>
        <v>4.9253999999999998</v>
      </c>
      <c r="M220">
        <f t="shared" si="26"/>
        <v>-1.8353999999999999</v>
      </c>
      <c r="N220">
        <f t="shared" si="27"/>
        <v>3.3686931599999999</v>
      </c>
      <c r="R220">
        <v>4</v>
      </c>
      <c r="S220">
        <v>30.14</v>
      </c>
      <c r="T220">
        <v>0</v>
      </c>
      <c r="U220">
        <v>1</v>
      </c>
      <c r="V220">
        <v>3</v>
      </c>
      <c r="W220">
        <v>1</v>
      </c>
    </row>
    <row r="221" spans="1:23" x14ac:dyDescent="0.3">
      <c r="A221" t="s">
        <v>11</v>
      </c>
      <c r="B221" t="s">
        <v>15</v>
      </c>
      <c r="C221" t="s">
        <v>18</v>
      </c>
      <c r="D221" t="s">
        <v>17</v>
      </c>
      <c r="E221">
        <v>2</v>
      </c>
      <c r="F221">
        <v>12.16</v>
      </c>
      <c r="G221">
        <v>2.2000000000000002</v>
      </c>
      <c r="H221">
        <f t="shared" si="21"/>
        <v>1</v>
      </c>
      <c r="I221">
        <f t="shared" si="22"/>
        <v>1</v>
      </c>
      <c r="J221">
        <f t="shared" si="23"/>
        <v>2</v>
      </c>
      <c r="K221">
        <f t="shared" si="24"/>
        <v>0</v>
      </c>
      <c r="L221">
        <f t="shared" si="25"/>
        <v>2.6176000000000004</v>
      </c>
      <c r="M221">
        <f t="shared" si="26"/>
        <v>-0.41760000000000019</v>
      </c>
      <c r="N221">
        <f t="shared" si="27"/>
        <v>0.17438976000000017</v>
      </c>
      <c r="R221">
        <v>2</v>
      </c>
      <c r="S221">
        <v>12.16</v>
      </c>
      <c r="T221">
        <v>1</v>
      </c>
      <c r="U221">
        <v>1</v>
      </c>
      <c r="V221">
        <v>2</v>
      </c>
      <c r="W221">
        <v>0</v>
      </c>
    </row>
    <row r="222" spans="1:23" x14ac:dyDescent="0.3">
      <c r="A222" t="s">
        <v>7</v>
      </c>
      <c r="B222" t="s">
        <v>15</v>
      </c>
      <c r="C222" t="s">
        <v>18</v>
      </c>
      <c r="D222" t="s">
        <v>17</v>
      </c>
      <c r="E222">
        <v>2</v>
      </c>
      <c r="F222">
        <v>13.42</v>
      </c>
      <c r="G222">
        <v>3.48</v>
      </c>
      <c r="H222">
        <f t="shared" si="21"/>
        <v>0</v>
      </c>
      <c r="I222">
        <f t="shared" si="22"/>
        <v>1</v>
      </c>
      <c r="J222">
        <f t="shared" si="23"/>
        <v>2</v>
      </c>
      <c r="K222">
        <f t="shared" si="24"/>
        <v>0</v>
      </c>
      <c r="L222">
        <f t="shared" si="25"/>
        <v>2.6161999999999996</v>
      </c>
      <c r="M222">
        <f t="shared" si="26"/>
        <v>0.86380000000000035</v>
      </c>
      <c r="N222">
        <f t="shared" si="27"/>
        <v>0.74615044000000064</v>
      </c>
      <c r="R222">
        <v>2</v>
      </c>
      <c r="S222">
        <v>13.42</v>
      </c>
      <c r="T222">
        <v>0</v>
      </c>
      <c r="U222">
        <v>1</v>
      </c>
      <c r="V222">
        <v>2</v>
      </c>
      <c r="W222">
        <v>0</v>
      </c>
    </row>
    <row r="223" spans="1:23" x14ac:dyDescent="0.3">
      <c r="A223" t="s">
        <v>11</v>
      </c>
      <c r="B223" t="s">
        <v>15</v>
      </c>
      <c r="C223" t="s">
        <v>18</v>
      </c>
      <c r="D223" t="s">
        <v>17</v>
      </c>
      <c r="E223">
        <v>1</v>
      </c>
      <c r="F223">
        <v>8.58</v>
      </c>
      <c r="G223">
        <v>1.92</v>
      </c>
      <c r="H223">
        <f t="shared" si="21"/>
        <v>1</v>
      </c>
      <c r="I223">
        <f t="shared" si="22"/>
        <v>1</v>
      </c>
      <c r="J223">
        <f t="shared" si="23"/>
        <v>2</v>
      </c>
      <c r="K223">
        <f t="shared" si="24"/>
        <v>0</v>
      </c>
      <c r="L223">
        <f t="shared" si="25"/>
        <v>2.0438000000000001</v>
      </c>
      <c r="M223">
        <f t="shared" si="26"/>
        <v>-0.12380000000000013</v>
      </c>
      <c r="N223">
        <f t="shared" si="27"/>
        <v>1.5326440000000033E-2</v>
      </c>
      <c r="R223">
        <v>1</v>
      </c>
      <c r="S223">
        <v>8.58</v>
      </c>
      <c r="T223">
        <v>1</v>
      </c>
      <c r="U223">
        <v>1</v>
      </c>
      <c r="V223">
        <v>2</v>
      </c>
      <c r="W223">
        <v>0</v>
      </c>
    </row>
    <row r="224" spans="1:23" x14ac:dyDescent="0.3">
      <c r="A224" t="s">
        <v>7</v>
      </c>
      <c r="B224" t="s">
        <v>8</v>
      </c>
      <c r="C224" t="s">
        <v>18</v>
      </c>
      <c r="D224" t="s">
        <v>17</v>
      </c>
      <c r="E224">
        <v>3</v>
      </c>
      <c r="F224">
        <v>15.98</v>
      </c>
      <c r="G224">
        <v>3</v>
      </c>
      <c r="H224">
        <f t="shared" si="21"/>
        <v>0</v>
      </c>
      <c r="I224">
        <f t="shared" si="22"/>
        <v>0</v>
      </c>
      <c r="J224">
        <f t="shared" si="23"/>
        <v>2</v>
      </c>
      <c r="K224">
        <f t="shared" si="24"/>
        <v>0</v>
      </c>
      <c r="L224">
        <f t="shared" si="25"/>
        <v>3.2778</v>
      </c>
      <c r="M224">
        <f t="shared" si="26"/>
        <v>-0.27780000000000005</v>
      </c>
      <c r="N224">
        <f t="shared" si="27"/>
        <v>7.717284000000002E-2</v>
      </c>
      <c r="R224">
        <v>3</v>
      </c>
      <c r="S224">
        <v>15.98</v>
      </c>
      <c r="T224">
        <v>0</v>
      </c>
      <c r="U224">
        <v>0</v>
      </c>
      <c r="V224">
        <v>2</v>
      </c>
      <c r="W224">
        <v>0</v>
      </c>
    </row>
    <row r="225" spans="1:23" x14ac:dyDescent="0.3">
      <c r="A225" t="s">
        <v>11</v>
      </c>
      <c r="B225" t="s">
        <v>15</v>
      </c>
      <c r="C225" t="s">
        <v>18</v>
      </c>
      <c r="D225" t="s">
        <v>17</v>
      </c>
      <c r="E225">
        <v>2</v>
      </c>
      <c r="F225">
        <v>13.42</v>
      </c>
      <c r="G225">
        <v>1.58</v>
      </c>
      <c r="H225">
        <f t="shared" si="21"/>
        <v>1</v>
      </c>
      <c r="I225">
        <f t="shared" si="22"/>
        <v>1</v>
      </c>
      <c r="J225">
        <f t="shared" si="23"/>
        <v>2</v>
      </c>
      <c r="K225">
        <f t="shared" si="24"/>
        <v>0</v>
      </c>
      <c r="L225">
        <f t="shared" si="25"/>
        <v>2.7561999999999998</v>
      </c>
      <c r="M225">
        <f t="shared" si="26"/>
        <v>-1.1761999999999997</v>
      </c>
      <c r="N225">
        <f t="shared" si="27"/>
        <v>1.3834464399999993</v>
      </c>
      <c r="R225">
        <v>2</v>
      </c>
      <c r="S225">
        <v>13.42</v>
      </c>
      <c r="T225">
        <v>1</v>
      </c>
      <c r="U225">
        <v>1</v>
      </c>
      <c r="V225">
        <v>2</v>
      </c>
      <c r="W225">
        <v>0</v>
      </c>
    </row>
    <row r="226" spans="1:23" x14ac:dyDescent="0.3">
      <c r="A226" t="s">
        <v>7</v>
      </c>
      <c r="B226" t="s">
        <v>15</v>
      </c>
      <c r="C226" t="s">
        <v>18</v>
      </c>
      <c r="D226" t="s">
        <v>17</v>
      </c>
      <c r="E226">
        <v>2</v>
      </c>
      <c r="F226">
        <v>16.27</v>
      </c>
      <c r="G226">
        <v>2.5</v>
      </c>
      <c r="H226">
        <f t="shared" si="21"/>
        <v>0</v>
      </c>
      <c r="I226">
        <f t="shared" si="22"/>
        <v>1</v>
      </c>
      <c r="J226">
        <f t="shared" si="23"/>
        <v>2</v>
      </c>
      <c r="K226">
        <f t="shared" si="24"/>
        <v>0</v>
      </c>
      <c r="L226">
        <f t="shared" si="25"/>
        <v>2.9297</v>
      </c>
      <c r="M226">
        <f t="shared" si="26"/>
        <v>-0.42969999999999997</v>
      </c>
      <c r="N226">
        <f t="shared" si="27"/>
        <v>0.18464208999999998</v>
      </c>
      <c r="R226">
        <v>2</v>
      </c>
      <c r="S226">
        <v>16.27</v>
      </c>
      <c r="T226">
        <v>0</v>
      </c>
      <c r="U226">
        <v>1</v>
      </c>
      <c r="V226">
        <v>2</v>
      </c>
      <c r="W226">
        <v>0</v>
      </c>
    </row>
    <row r="227" spans="1:23" x14ac:dyDescent="0.3">
      <c r="A227" t="s">
        <v>7</v>
      </c>
      <c r="B227" t="s">
        <v>15</v>
      </c>
      <c r="C227" t="s">
        <v>18</v>
      </c>
      <c r="D227" t="s">
        <v>17</v>
      </c>
      <c r="E227">
        <v>2</v>
      </c>
      <c r="F227">
        <v>10.09</v>
      </c>
      <c r="G227">
        <v>2</v>
      </c>
      <c r="H227">
        <f t="shared" si="21"/>
        <v>0</v>
      </c>
      <c r="I227">
        <f t="shared" si="22"/>
        <v>1</v>
      </c>
      <c r="J227">
        <f t="shared" si="23"/>
        <v>2</v>
      </c>
      <c r="K227">
        <f t="shared" si="24"/>
        <v>0</v>
      </c>
      <c r="L227">
        <f t="shared" si="25"/>
        <v>2.2498999999999998</v>
      </c>
      <c r="M227">
        <f t="shared" si="26"/>
        <v>-0.24989999999999979</v>
      </c>
      <c r="N227">
        <f t="shared" si="27"/>
        <v>6.2450009999999896E-2</v>
      </c>
      <c r="R227">
        <v>2</v>
      </c>
      <c r="S227">
        <v>10.09</v>
      </c>
      <c r="T227">
        <v>0</v>
      </c>
      <c r="U227">
        <v>1</v>
      </c>
      <c r="V227">
        <v>2</v>
      </c>
      <c r="W227">
        <v>0</v>
      </c>
    </row>
    <row r="228" spans="1:23" x14ac:dyDescent="0.3">
      <c r="A228" t="s">
        <v>11</v>
      </c>
      <c r="B228" t="s">
        <v>8</v>
      </c>
      <c r="C228" t="s">
        <v>14</v>
      </c>
      <c r="D228" t="s">
        <v>10</v>
      </c>
      <c r="E228">
        <v>4</v>
      </c>
      <c r="F228">
        <v>20.45</v>
      </c>
      <c r="G228">
        <v>3</v>
      </c>
      <c r="H228">
        <f t="shared" si="21"/>
        <v>1</v>
      </c>
      <c r="I228">
        <f t="shared" si="22"/>
        <v>0</v>
      </c>
      <c r="J228">
        <f t="shared" si="23"/>
        <v>3</v>
      </c>
      <c r="K228">
        <f t="shared" si="24"/>
        <v>1</v>
      </c>
      <c r="L228">
        <f t="shared" si="25"/>
        <v>4.1994999999999996</v>
      </c>
      <c r="M228">
        <f t="shared" si="26"/>
        <v>-1.1994999999999996</v>
      </c>
      <c r="N228">
        <f t="shared" si="27"/>
        <v>1.438800249999999</v>
      </c>
      <c r="R228">
        <v>4</v>
      </c>
      <c r="S228">
        <v>20.45</v>
      </c>
      <c r="T228">
        <v>1</v>
      </c>
      <c r="U228">
        <v>0</v>
      </c>
      <c r="V228">
        <v>3</v>
      </c>
      <c r="W228">
        <v>1</v>
      </c>
    </row>
    <row r="229" spans="1:23" x14ac:dyDescent="0.3">
      <c r="A229" t="s">
        <v>11</v>
      </c>
      <c r="B229" t="s">
        <v>8</v>
      </c>
      <c r="C229" t="s">
        <v>14</v>
      </c>
      <c r="D229" t="s">
        <v>10</v>
      </c>
      <c r="E229">
        <v>2</v>
      </c>
      <c r="F229">
        <v>13.28</v>
      </c>
      <c r="G229">
        <v>2.72</v>
      </c>
      <c r="H229">
        <f t="shared" si="21"/>
        <v>1</v>
      </c>
      <c r="I229">
        <f t="shared" si="22"/>
        <v>0</v>
      </c>
      <c r="J229">
        <f t="shared" si="23"/>
        <v>3</v>
      </c>
      <c r="K229">
        <f t="shared" si="24"/>
        <v>1</v>
      </c>
      <c r="L229">
        <f t="shared" si="25"/>
        <v>3.0508000000000002</v>
      </c>
      <c r="M229">
        <f t="shared" si="26"/>
        <v>-0.33079999999999998</v>
      </c>
      <c r="N229">
        <f t="shared" si="27"/>
        <v>0.10942863999999999</v>
      </c>
      <c r="R229">
        <v>2</v>
      </c>
      <c r="S229">
        <v>13.28</v>
      </c>
      <c r="T229">
        <v>1</v>
      </c>
      <c r="U229">
        <v>0</v>
      </c>
      <c r="V229">
        <v>3</v>
      </c>
      <c r="W229">
        <v>1</v>
      </c>
    </row>
    <row r="230" spans="1:23" x14ac:dyDescent="0.3">
      <c r="A230" t="s">
        <v>7</v>
      </c>
      <c r="B230" t="s">
        <v>15</v>
      </c>
      <c r="C230" t="s">
        <v>14</v>
      </c>
      <c r="D230" t="s">
        <v>10</v>
      </c>
      <c r="E230">
        <v>2</v>
      </c>
      <c r="F230">
        <v>22.12</v>
      </c>
      <c r="G230">
        <v>2.88</v>
      </c>
      <c r="H230">
        <f t="shared" si="21"/>
        <v>0</v>
      </c>
      <c r="I230">
        <f t="shared" si="22"/>
        <v>1</v>
      </c>
      <c r="J230">
        <f t="shared" si="23"/>
        <v>3</v>
      </c>
      <c r="K230">
        <f t="shared" si="24"/>
        <v>1</v>
      </c>
      <c r="L230">
        <f t="shared" si="25"/>
        <v>3.6832000000000003</v>
      </c>
      <c r="M230">
        <f t="shared" si="26"/>
        <v>-0.80320000000000036</v>
      </c>
      <c r="N230">
        <f t="shared" si="27"/>
        <v>0.64513024000000052</v>
      </c>
      <c r="R230">
        <v>2</v>
      </c>
      <c r="S230">
        <v>22.12</v>
      </c>
      <c r="T230">
        <v>0</v>
      </c>
      <c r="U230">
        <v>1</v>
      </c>
      <c r="V230">
        <v>3</v>
      </c>
      <c r="W230">
        <v>1</v>
      </c>
    </row>
    <row r="231" spans="1:23" x14ac:dyDescent="0.3">
      <c r="A231" t="s">
        <v>11</v>
      </c>
      <c r="B231" t="s">
        <v>15</v>
      </c>
      <c r="C231" t="s">
        <v>14</v>
      </c>
      <c r="D231" t="s">
        <v>10</v>
      </c>
      <c r="E231">
        <v>4</v>
      </c>
      <c r="F231">
        <v>24.01</v>
      </c>
      <c r="G231">
        <v>2</v>
      </c>
      <c r="H231">
        <f t="shared" si="21"/>
        <v>1</v>
      </c>
      <c r="I231">
        <f t="shared" si="22"/>
        <v>1</v>
      </c>
      <c r="J231">
        <f t="shared" si="23"/>
        <v>3</v>
      </c>
      <c r="K231">
        <f t="shared" si="24"/>
        <v>1</v>
      </c>
      <c r="L231">
        <f t="shared" si="25"/>
        <v>4.3910999999999998</v>
      </c>
      <c r="M231">
        <f t="shared" si="26"/>
        <v>-2.3910999999999998</v>
      </c>
      <c r="N231">
        <f t="shared" si="27"/>
        <v>5.7173592099999988</v>
      </c>
      <c r="R231">
        <v>4</v>
      </c>
      <c r="S231">
        <v>24.01</v>
      </c>
      <c r="T231">
        <v>1</v>
      </c>
      <c r="U231">
        <v>1</v>
      </c>
      <c r="V231">
        <v>3</v>
      </c>
      <c r="W231">
        <v>1</v>
      </c>
    </row>
    <row r="232" spans="1:23" x14ac:dyDescent="0.3">
      <c r="A232" t="s">
        <v>11</v>
      </c>
      <c r="B232" t="s">
        <v>15</v>
      </c>
      <c r="C232" t="s">
        <v>14</v>
      </c>
      <c r="D232" t="s">
        <v>10</v>
      </c>
      <c r="E232">
        <v>3</v>
      </c>
      <c r="F232">
        <v>15.69</v>
      </c>
      <c r="G232">
        <v>3</v>
      </c>
      <c r="H232">
        <f t="shared" si="21"/>
        <v>1</v>
      </c>
      <c r="I232">
        <f t="shared" si="22"/>
        <v>1</v>
      </c>
      <c r="J232">
        <f t="shared" si="23"/>
        <v>3</v>
      </c>
      <c r="K232">
        <f t="shared" si="24"/>
        <v>1</v>
      </c>
      <c r="L232">
        <f t="shared" si="25"/>
        <v>3.2959000000000001</v>
      </c>
      <c r="M232">
        <f t="shared" si="26"/>
        <v>-0.29590000000000005</v>
      </c>
      <c r="N232">
        <f t="shared" si="27"/>
        <v>8.7556810000000027E-2</v>
      </c>
      <c r="R232">
        <v>3</v>
      </c>
      <c r="S232">
        <v>15.69</v>
      </c>
      <c r="T232">
        <v>1</v>
      </c>
      <c r="U232">
        <v>1</v>
      </c>
      <c r="V232">
        <v>3</v>
      </c>
      <c r="W232">
        <v>1</v>
      </c>
    </row>
    <row r="233" spans="1:23" x14ac:dyDescent="0.3">
      <c r="A233" t="s">
        <v>11</v>
      </c>
      <c r="B233" t="s">
        <v>8</v>
      </c>
      <c r="C233" t="s">
        <v>14</v>
      </c>
      <c r="D233" t="s">
        <v>10</v>
      </c>
      <c r="E233">
        <v>2</v>
      </c>
      <c r="F233">
        <v>11.61</v>
      </c>
      <c r="G233">
        <v>3.39</v>
      </c>
      <c r="H233">
        <f t="shared" si="21"/>
        <v>1</v>
      </c>
      <c r="I233">
        <f t="shared" si="22"/>
        <v>0</v>
      </c>
      <c r="J233">
        <f t="shared" si="23"/>
        <v>3</v>
      </c>
      <c r="K233">
        <f t="shared" si="24"/>
        <v>1</v>
      </c>
      <c r="L233">
        <f t="shared" si="25"/>
        <v>2.8671000000000002</v>
      </c>
      <c r="M233">
        <f t="shared" si="26"/>
        <v>0.52289999999999992</v>
      </c>
      <c r="N233">
        <f t="shared" si="27"/>
        <v>0.2734244099999999</v>
      </c>
      <c r="R233">
        <v>2</v>
      </c>
      <c r="S233">
        <v>11.61</v>
      </c>
      <c r="T233">
        <v>1</v>
      </c>
      <c r="U233">
        <v>0</v>
      </c>
      <c r="V233">
        <v>3</v>
      </c>
      <c r="W233">
        <v>1</v>
      </c>
    </row>
    <row r="234" spans="1:23" x14ac:dyDescent="0.3">
      <c r="A234" t="s">
        <v>11</v>
      </c>
      <c r="B234" t="s">
        <v>8</v>
      </c>
      <c r="C234" t="s">
        <v>14</v>
      </c>
      <c r="D234" t="s">
        <v>10</v>
      </c>
      <c r="E234">
        <v>2</v>
      </c>
      <c r="F234">
        <v>10.77</v>
      </c>
      <c r="G234">
        <v>1.47</v>
      </c>
      <c r="H234">
        <f t="shared" si="21"/>
        <v>1</v>
      </c>
      <c r="I234">
        <f t="shared" si="22"/>
        <v>0</v>
      </c>
      <c r="J234">
        <f t="shared" si="23"/>
        <v>3</v>
      </c>
      <c r="K234">
        <f t="shared" si="24"/>
        <v>1</v>
      </c>
      <c r="L234">
        <f t="shared" si="25"/>
        <v>2.7746999999999997</v>
      </c>
      <c r="M234">
        <f t="shared" si="26"/>
        <v>-1.3046999999999997</v>
      </c>
      <c r="N234">
        <f t="shared" si="27"/>
        <v>1.7022420899999993</v>
      </c>
      <c r="R234">
        <v>2</v>
      </c>
      <c r="S234">
        <v>10.77</v>
      </c>
      <c r="T234">
        <v>1</v>
      </c>
      <c r="U234">
        <v>0</v>
      </c>
      <c r="V234">
        <v>3</v>
      </c>
      <c r="W234">
        <v>1</v>
      </c>
    </row>
    <row r="235" spans="1:23" x14ac:dyDescent="0.3">
      <c r="A235" t="s">
        <v>11</v>
      </c>
      <c r="B235" t="s">
        <v>15</v>
      </c>
      <c r="C235" t="s">
        <v>14</v>
      </c>
      <c r="D235" t="s">
        <v>10</v>
      </c>
      <c r="E235">
        <v>2</v>
      </c>
      <c r="F235">
        <v>15.53</v>
      </c>
      <c r="G235">
        <v>3</v>
      </c>
      <c r="H235">
        <f t="shared" si="21"/>
        <v>1</v>
      </c>
      <c r="I235">
        <f t="shared" si="22"/>
        <v>1</v>
      </c>
      <c r="J235">
        <f t="shared" si="23"/>
        <v>3</v>
      </c>
      <c r="K235">
        <f t="shared" si="24"/>
        <v>1</v>
      </c>
      <c r="L235">
        <f t="shared" si="25"/>
        <v>3.0982999999999996</v>
      </c>
      <c r="M235">
        <f t="shared" si="26"/>
        <v>-9.829999999999961E-2</v>
      </c>
      <c r="N235">
        <f t="shared" si="27"/>
        <v>9.662889999999924E-3</v>
      </c>
      <c r="R235">
        <v>2</v>
      </c>
      <c r="S235">
        <v>15.53</v>
      </c>
      <c r="T235">
        <v>1</v>
      </c>
      <c r="U235">
        <v>1</v>
      </c>
      <c r="V235">
        <v>3</v>
      </c>
      <c r="W235">
        <v>1</v>
      </c>
    </row>
    <row r="236" spans="1:23" x14ac:dyDescent="0.3">
      <c r="A236" t="s">
        <v>11</v>
      </c>
      <c r="B236" t="s">
        <v>8</v>
      </c>
      <c r="C236" t="s">
        <v>14</v>
      </c>
      <c r="D236" t="s">
        <v>10</v>
      </c>
      <c r="E236">
        <v>2</v>
      </c>
      <c r="F236">
        <v>10.07</v>
      </c>
      <c r="G236">
        <v>1.25</v>
      </c>
      <c r="H236">
        <f t="shared" si="21"/>
        <v>1</v>
      </c>
      <c r="I236">
        <f t="shared" si="22"/>
        <v>0</v>
      </c>
      <c r="J236">
        <f t="shared" si="23"/>
        <v>3</v>
      </c>
      <c r="K236">
        <f t="shared" si="24"/>
        <v>1</v>
      </c>
      <c r="L236">
        <f t="shared" si="25"/>
        <v>2.6977000000000002</v>
      </c>
      <c r="M236">
        <f t="shared" si="26"/>
        <v>-1.4477000000000002</v>
      </c>
      <c r="N236">
        <f t="shared" si="27"/>
        <v>2.0958352900000006</v>
      </c>
      <c r="R236">
        <v>2</v>
      </c>
      <c r="S236">
        <v>10.07</v>
      </c>
      <c r="T236">
        <v>1</v>
      </c>
      <c r="U236">
        <v>0</v>
      </c>
      <c r="V236">
        <v>3</v>
      </c>
      <c r="W236">
        <v>1</v>
      </c>
    </row>
    <row r="237" spans="1:23" x14ac:dyDescent="0.3">
      <c r="A237" t="s">
        <v>11</v>
      </c>
      <c r="B237" t="s">
        <v>15</v>
      </c>
      <c r="C237" t="s">
        <v>14</v>
      </c>
      <c r="D237" t="s">
        <v>10</v>
      </c>
      <c r="E237">
        <v>2</v>
      </c>
      <c r="F237">
        <v>12.6</v>
      </c>
      <c r="G237">
        <v>1</v>
      </c>
      <c r="H237">
        <f t="shared" si="21"/>
        <v>1</v>
      </c>
      <c r="I237">
        <f t="shared" si="22"/>
        <v>1</v>
      </c>
      <c r="J237">
        <f t="shared" si="23"/>
        <v>3</v>
      </c>
      <c r="K237">
        <f t="shared" si="24"/>
        <v>1</v>
      </c>
      <c r="L237">
        <f t="shared" si="25"/>
        <v>2.7759999999999998</v>
      </c>
      <c r="M237">
        <f t="shared" si="26"/>
        <v>-1.7759999999999998</v>
      </c>
      <c r="N237">
        <f t="shared" si="27"/>
        <v>3.1541759999999992</v>
      </c>
      <c r="R237">
        <v>2</v>
      </c>
      <c r="S237">
        <v>12.6</v>
      </c>
      <c r="T237">
        <v>1</v>
      </c>
      <c r="U237">
        <v>1</v>
      </c>
      <c r="V237">
        <v>3</v>
      </c>
      <c r="W237">
        <v>1</v>
      </c>
    </row>
    <row r="238" spans="1:23" x14ac:dyDescent="0.3">
      <c r="A238" t="s">
        <v>11</v>
      </c>
      <c r="B238" t="s">
        <v>15</v>
      </c>
      <c r="C238" t="s">
        <v>14</v>
      </c>
      <c r="D238" t="s">
        <v>10</v>
      </c>
      <c r="E238">
        <v>2</v>
      </c>
      <c r="F238">
        <v>32.83</v>
      </c>
      <c r="G238">
        <v>1.17</v>
      </c>
      <c r="H238">
        <f t="shared" si="21"/>
        <v>1</v>
      </c>
      <c r="I238">
        <f t="shared" si="22"/>
        <v>1</v>
      </c>
      <c r="J238">
        <f t="shared" si="23"/>
        <v>3</v>
      </c>
      <c r="K238">
        <f t="shared" si="24"/>
        <v>1</v>
      </c>
      <c r="L238">
        <f t="shared" si="25"/>
        <v>5.0012999999999996</v>
      </c>
      <c r="M238">
        <f t="shared" si="26"/>
        <v>-3.8312999999999997</v>
      </c>
      <c r="N238">
        <f t="shared" si="27"/>
        <v>14.678859689999998</v>
      </c>
      <c r="R238">
        <v>2</v>
      </c>
      <c r="S238">
        <v>32.83</v>
      </c>
      <c r="T238">
        <v>1</v>
      </c>
      <c r="U238">
        <v>1</v>
      </c>
      <c r="V238">
        <v>3</v>
      </c>
      <c r="W238">
        <v>1</v>
      </c>
    </row>
    <row r="239" spans="1:23" x14ac:dyDescent="0.3">
      <c r="A239" t="s">
        <v>7</v>
      </c>
      <c r="B239" t="s">
        <v>8</v>
      </c>
      <c r="C239" t="s">
        <v>14</v>
      </c>
      <c r="D239" t="s">
        <v>10</v>
      </c>
      <c r="E239">
        <v>3</v>
      </c>
      <c r="F239">
        <v>35.83</v>
      </c>
      <c r="G239">
        <v>4.67</v>
      </c>
      <c r="H239">
        <f t="shared" si="21"/>
        <v>0</v>
      </c>
      <c r="I239">
        <f t="shared" si="22"/>
        <v>0</v>
      </c>
      <c r="J239">
        <f t="shared" si="23"/>
        <v>3</v>
      </c>
      <c r="K239">
        <f t="shared" si="24"/>
        <v>1</v>
      </c>
      <c r="L239">
        <f t="shared" si="25"/>
        <v>5.5712999999999999</v>
      </c>
      <c r="M239">
        <f t="shared" si="26"/>
        <v>-0.90129999999999999</v>
      </c>
      <c r="N239">
        <f t="shared" si="27"/>
        <v>0.81234169000000001</v>
      </c>
      <c r="R239">
        <v>3</v>
      </c>
      <c r="S239">
        <v>35.83</v>
      </c>
      <c r="T239">
        <v>0</v>
      </c>
      <c r="U239">
        <v>0</v>
      </c>
      <c r="V239">
        <v>3</v>
      </c>
      <c r="W239">
        <v>1</v>
      </c>
    </row>
    <row r="240" spans="1:23" x14ac:dyDescent="0.3">
      <c r="A240" t="s">
        <v>11</v>
      </c>
      <c r="B240" t="s">
        <v>8</v>
      </c>
      <c r="C240" t="s">
        <v>14</v>
      </c>
      <c r="D240" t="s">
        <v>10</v>
      </c>
      <c r="E240">
        <v>3</v>
      </c>
      <c r="F240">
        <v>29.03</v>
      </c>
      <c r="G240">
        <v>5.92</v>
      </c>
      <c r="H240">
        <f t="shared" si="21"/>
        <v>1</v>
      </c>
      <c r="I240">
        <f t="shared" si="22"/>
        <v>0</v>
      </c>
      <c r="J240">
        <f t="shared" si="23"/>
        <v>3</v>
      </c>
      <c r="K240">
        <f t="shared" si="24"/>
        <v>1</v>
      </c>
      <c r="L240">
        <f t="shared" si="25"/>
        <v>4.9632999999999994</v>
      </c>
      <c r="M240">
        <f t="shared" si="26"/>
        <v>0.95670000000000055</v>
      </c>
      <c r="N240">
        <f t="shared" si="27"/>
        <v>0.91527489000000106</v>
      </c>
      <c r="R240">
        <v>3</v>
      </c>
      <c r="S240">
        <v>29.03</v>
      </c>
      <c r="T240">
        <v>1</v>
      </c>
      <c r="U240">
        <v>0</v>
      </c>
      <c r="V240">
        <v>3</v>
      </c>
      <c r="W240">
        <v>1</v>
      </c>
    </row>
    <row r="241" spans="1:23" x14ac:dyDescent="0.3">
      <c r="A241" t="s">
        <v>7</v>
      </c>
      <c r="B241" t="s">
        <v>15</v>
      </c>
      <c r="C241" t="s">
        <v>14</v>
      </c>
      <c r="D241" t="s">
        <v>10</v>
      </c>
      <c r="E241">
        <v>2</v>
      </c>
      <c r="F241">
        <v>27.18</v>
      </c>
      <c r="G241">
        <v>2</v>
      </c>
      <c r="H241">
        <f t="shared" si="21"/>
        <v>0</v>
      </c>
      <c r="I241">
        <f t="shared" si="22"/>
        <v>1</v>
      </c>
      <c r="J241">
        <f t="shared" si="23"/>
        <v>3</v>
      </c>
      <c r="K241">
        <f t="shared" si="24"/>
        <v>1</v>
      </c>
      <c r="L241">
        <f t="shared" si="25"/>
        <v>4.2397999999999998</v>
      </c>
      <c r="M241">
        <f t="shared" si="26"/>
        <v>-2.2397999999999998</v>
      </c>
      <c r="N241">
        <f t="shared" si="27"/>
        <v>5.0167040399999987</v>
      </c>
      <c r="R241">
        <v>2</v>
      </c>
      <c r="S241">
        <v>27.18</v>
      </c>
      <c r="T241">
        <v>0</v>
      </c>
      <c r="U241">
        <v>1</v>
      </c>
      <c r="V241">
        <v>3</v>
      </c>
      <c r="W241">
        <v>1</v>
      </c>
    </row>
    <row r="242" spans="1:23" x14ac:dyDescent="0.3">
      <c r="A242" t="s">
        <v>11</v>
      </c>
      <c r="B242" t="s">
        <v>15</v>
      </c>
      <c r="C242" t="s">
        <v>14</v>
      </c>
      <c r="D242" t="s">
        <v>10</v>
      </c>
      <c r="E242">
        <v>2</v>
      </c>
      <c r="F242">
        <v>22.67</v>
      </c>
      <c r="G242">
        <v>2</v>
      </c>
      <c r="H242">
        <f t="shared" si="21"/>
        <v>1</v>
      </c>
      <c r="I242">
        <f t="shared" si="22"/>
        <v>1</v>
      </c>
      <c r="J242">
        <f t="shared" si="23"/>
        <v>3</v>
      </c>
      <c r="K242">
        <f t="shared" si="24"/>
        <v>1</v>
      </c>
      <c r="L242">
        <f t="shared" si="25"/>
        <v>3.8836999999999997</v>
      </c>
      <c r="M242">
        <f t="shared" si="26"/>
        <v>-1.8836999999999997</v>
      </c>
      <c r="N242">
        <f t="shared" si="27"/>
        <v>3.5483256899999991</v>
      </c>
      <c r="R242">
        <v>2</v>
      </c>
      <c r="S242">
        <v>22.67</v>
      </c>
      <c r="T242">
        <v>1</v>
      </c>
      <c r="U242">
        <v>1</v>
      </c>
      <c r="V242">
        <v>3</v>
      </c>
      <c r="W242">
        <v>1</v>
      </c>
    </row>
    <row r="243" spans="1:23" x14ac:dyDescent="0.3">
      <c r="A243" t="s">
        <v>11</v>
      </c>
      <c r="B243" t="s">
        <v>8</v>
      </c>
      <c r="C243" t="s">
        <v>14</v>
      </c>
      <c r="D243" t="s">
        <v>10</v>
      </c>
      <c r="E243">
        <v>2</v>
      </c>
      <c r="F243">
        <v>17.82</v>
      </c>
      <c r="G243">
        <v>1.75</v>
      </c>
      <c r="H243">
        <f t="shared" si="21"/>
        <v>1</v>
      </c>
      <c r="I243">
        <f t="shared" si="22"/>
        <v>0</v>
      </c>
      <c r="J243">
        <f t="shared" si="23"/>
        <v>3</v>
      </c>
      <c r="K243">
        <f t="shared" si="24"/>
        <v>1</v>
      </c>
      <c r="L243">
        <f t="shared" si="25"/>
        <v>3.5501999999999998</v>
      </c>
      <c r="M243">
        <f t="shared" si="26"/>
        <v>-1.8001999999999998</v>
      </c>
      <c r="N243">
        <f t="shared" si="27"/>
        <v>3.2407200399999994</v>
      </c>
      <c r="R243">
        <v>2</v>
      </c>
      <c r="S243">
        <v>17.82</v>
      </c>
      <c r="T243">
        <v>1</v>
      </c>
      <c r="U243">
        <v>0</v>
      </c>
      <c r="V243">
        <v>3</v>
      </c>
      <c r="W243">
        <v>1</v>
      </c>
    </row>
    <row r="244" spans="1:23" x14ac:dyDescent="0.3">
      <c r="A244" t="s">
        <v>7</v>
      </c>
      <c r="B244" t="s">
        <v>8</v>
      </c>
      <c r="C244" t="s">
        <v>16</v>
      </c>
      <c r="D244" t="s">
        <v>10</v>
      </c>
      <c r="E244">
        <v>2</v>
      </c>
      <c r="F244">
        <v>18.78</v>
      </c>
      <c r="G244">
        <v>3</v>
      </c>
      <c r="H244">
        <f t="shared" si="21"/>
        <v>0</v>
      </c>
      <c r="I244">
        <f t="shared" si="22"/>
        <v>0</v>
      </c>
      <c r="J244">
        <f t="shared" si="23"/>
        <v>1</v>
      </c>
      <c r="K244">
        <f t="shared" si="24"/>
        <v>1</v>
      </c>
      <c r="L244">
        <f t="shared" si="25"/>
        <v>3.4558000000000004</v>
      </c>
      <c r="M244">
        <f t="shared" si="26"/>
        <v>-0.45580000000000043</v>
      </c>
      <c r="N244">
        <f t="shared" si="27"/>
        <v>0.20775364000000038</v>
      </c>
      <c r="R244">
        <v>2</v>
      </c>
      <c r="S244">
        <v>18.78</v>
      </c>
      <c r="T244">
        <v>0</v>
      </c>
      <c r="U244">
        <v>0</v>
      </c>
      <c r="V244">
        <v>1</v>
      </c>
      <c r="W244">
        <v>1</v>
      </c>
    </row>
    <row r="246" spans="1:23" x14ac:dyDescent="0.3">
      <c r="M246" t="s">
        <v>50</v>
      </c>
      <c r="N246">
        <f>SQRT(AVERAGE(N2:N245))</f>
        <v>1.2524680721393244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Ellen Mtola</cp:lastModifiedBy>
  <cp:revision/>
  <dcterms:created xsi:type="dcterms:W3CDTF">2021-10-26T16:10:41Z</dcterms:created>
  <dcterms:modified xsi:type="dcterms:W3CDTF">2026-08-05T05:02:27Z</dcterms:modified>
  <cp:category/>
  <cp:contentStatus/>
</cp:coreProperties>
</file>